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tejveer_a_singh_capgemini_com/Documents/Desktop/Personal/Excel/"/>
    </mc:Choice>
  </mc:AlternateContent>
  <xr:revisionPtr revIDLastSave="18" documentId="13_ncr:1_{ACB16091-2111-44EC-9DC0-41D13C8A63F2}" xr6:coauthVersionLast="47" xr6:coauthVersionMax="47" xr10:uidLastSave="{B375DEEC-6136-4B3C-913B-430544F2A428}"/>
  <bookViews>
    <workbookView xWindow="-108" yWindow="-108" windowWidth="23256" windowHeight="14616" xr2:uid="{00000000-000D-0000-FFFF-FFFF00000000}"/>
  </bookViews>
  <sheets>
    <sheet name="Dashboard" sheetId="2" r:id="rId1"/>
    <sheet name="Analysis Sheet" sheetId="1" r:id="rId2"/>
  </sheet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24c3fe52-2d5a-48b8-847f-6cd16020da3a" name="Dim_buses" connection="Query - Dim_buses"/>
          <x15:modelTable id="Dim_demographics_105abc87-81ae-45cb-99d0-9157283328c9" name="Dim_demographics" connection="Query - Dim_demographics"/>
          <x15:modelTable id="Dim_routes_3bcab6f7-c315-4696-8ae9-b375f21740bb" name="Dim_routes" connection="Query - Dim_routes"/>
          <x15:modelTable id="Fact_ridership_bc8f0de0-0768-41e9-9a31-a781372575ec" name="Fact_ridership" connection="Query - Fact_ridership"/>
          <x15:modelTable id="Dim_datetable_47b57925-7cfb-47b2-b0e9-55d325f2265e" name="Dim_datetable" connection="Query - Dim_datetable"/>
          <x15:modelTable id="Calculations_db28cc65-c775-44ed-be11-657e6915337d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_ridership" fromColumn="BusID" toTable="Dim_buses" toColumn="BusID"/>
          <x15:modelRelationship fromTable="Fact_ridership" fromColumn="RiderID" toTable="Dim_demographics" toColumn="RiderID"/>
          <x15:modelRelationship fromTable="Fact_ridership" fromColumn="Date" toTable="Dim_datetabl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E62" i="1"/>
  <c r="E60" i="1"/>
  <c r="G62" i="1"/>
  <c r="G61" i="1"/>
  <c r="G60" i="1"/>
  <c r="G52" i="1"/>
  <c r="F60" i="1"/>
  <c r="F61" i="1"/>
  <c r="F62" i="1"/>
  <c r="F59" i="1"/>
  <c r="G53" i="1"/>
  <c r="G54" i="1"/>
  <c r="G55" i="1"/>
  <c r="G56" i="1"/>
  <c r="G57" i="1"/>
  <c r="F53" i="1"/>
  <c r="F54" i="1"/>
  <c r="F55" i="1"/>
  <c r="F56" i="1"/>
  <c r="F57" i="1"/>
  <c r="F52" i="1"/>
  <c r="G40" i="1"/>
  <c r="G41" i="1"/>
  <c r="G42" i="1"/>
  <c r="G43" i="1"/>
  <c r="G44" i="1"/>
  <c r="G45" i="1"/>
  <c r="G46" i="1"/>
  <c r="G47" i="1"/>
  <c r="F41" i="1"/>
  <c r="F42" i="1"/>
  <c r="F43" i="1"/>
  <c r="F44" i="1"/>
  <c r="F45" i="1"/>
  <c r="F46" i="1"/>
  <c r="F47" i="1"/>
  <c r="F40" i="1"/>
  <c r="E36" i="1"/>
  <c r="H62" i="1" l="1"/>
  <c r="H61" i="1"/>
  <c r="H63" i="1"/>
  <c r="H57" i="1"/>
  <c r="I57" i="1" s="1"/>
  <c r="H60" i="1"/>
  <c r="H55" i="1"/>
  <c r="I55" i="1" s="1"/>
  <c r="H53" i="1"/>
  <c r="I53" i="1" s="1"/>
  <c r="H56" i="1"/>
  <c r="I56" i="1" s="1"/>
  <c r="H54" i="1"/>
  <c r="I54" i="1" s="1"/>
  <c r="H52" i="1"/>
  <c r="I52" i="1" s="1"/>
  <c r="H42" i="1"/>
  <c r="I42" i="1" s="1"/>
  <c r="H45" i="1"/>
  <c r="I45" i="1" s="1"/>
  <c r="H43" i="1"/>
  <c r="I43" i="1" s="1"/>
  <c r="H41" i="1"/>
  <c r="I41" i="1" s="1"/>
  <c r="H44" i="1"/>
  <c r="I44" i="1" s="1"/>
  <c r="H47" i="1"/>
  <c r="I47" i="1" s="1"/>
  <c r="H46" i="1"/>
  <c r="I46" i="1" s="1"/>
  <c r="F35" i="1"/>
  <c r="G35" i="1"/>
  <c r="H49" i="1" l="1"/>
  <c r="L49" i="1" s="1"/>
  <c r="G36" i="1"/>
  <c r="F36" i="1"/>
  <c r="E38" i="1"/>
  <c r="F38" i="1" l="1"/>
  <c r="G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57D56-0A2A-4204-819E-8D60299D0C48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b8af8dc1-9ae2-4cde-a5f6-9b175cd38a8f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2" xr16:uid="{AFCD4CCF-DFE0-4C60-8880-F1A306E32E1B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9bc84cc0-4ee6-4686-9658-8da10807572c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FD9E283B-158A-49FB-8F36-0B6D4B1F4A46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225f82fa-1453-492d-bce8-9aed7dd895bd">
          <x15:oledbPr connection="Provider=Microsoft.Mashup.OleDb.1;Data Source=$Workbook$;Location=Dim_datetable;Extended Properties=&quot;&quot;">
            <x15:dbTables>
              <x15:dbTable name="Dim_datetable"/>
            </x15:dbTables>
          </x15:oledbPr>
        </x15:connection>
      </ext>
    </extLst>
  </connection>
  <connection id="4" xr16:uid="{9E1F212F-DAFD-4C7D-9BB9-FEA450B98136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c8a853f8-b8f4-484e-988e-14c64613fd7a">
          <x15:oledbPr connection="Provider=Microsoft.Mashup.OleDb.1;Data Source=$Workbook$;Location=Dim_demographics;Extended Properties=&quot;&quot;">
            <x15:dbTables>
              <x15:dbTable name="Dim_demographics"/>
            </x15:dbTables>
          </x15:oledbPr>
        </x15:connection>
      </ext>
    </extLst>
  </connection>
  <connection id="5" xr16:uid="{188A3730-BB2B-4B42-9705-90F1B3610B49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f6593da7-2e1d-4448-901a-c7be11fe466b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32814C1D-165F-483D-91A1-9964F86980D7}" name="Query - Fact_ridership" description="Connection to the 'Fact_ridership' query in the workbook." type="100" refreshedVersion="8" minRefreshableVersion="5">
    <extLst>
      <ext xmlns:x15="http://schemas.microsoft.com/office/spreadsheetml/2010/11/main" uri="{DE250136-89BD-433C-8126-D09CA5730AF9}">
        <x15:connection id="f9cacd8a-7eb4-46a9-a447-eb4583ac4f72"/>
      </ext>
    </extLst>
  </connection>
  <connection id="7" xr16:uid="{663894CC-0B99-4A66-BE09-BA449741AFF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<sst xmlns="http://schemas.openxmlformats.org/spreadsheetml/2006/main" count="82" uniqueCount="67">
  <si>
    <t>0-19</t>
  </si>
  <si>
    <t>20-29</t>
  </si>
  <si>
    <t>30-39</t>
  </si>
  <si>
    <t>40-49</t>
  </si>
  <si>
    <t>50-59</t>
  </si>
  <si>
    <t>60 and above</t>
  </si>
  <si>
    <t>AgeGroups</t>
  </si>
  <si>
    <t>Total Records in Transaction Table</t>
  </si>
  <si>
    <t>Total Records in Demographics Table</t>
  </si>
  <si>
    <t>Total Transactions (Measure)</t>
  </si>
  <si>
    <t>Average Age (Measure)</t>
  </si>
  <si>
    <t>Total Riders (Measure)</t>
  </si>
  <si>
    <t>Commuters per Trip (Measure)</t>
  </si>
  <si>
    <t>East-West Express</t>
  </si>
  <si>
    <t>South Line</t>
  </si>
  <si>
    <t>Busiest Route</t>
  </si>
  <si>
    <t>TimeSegment</t>
  </si>
  <si>
    <t>10 AM - 3 PM</t>
  </si>
  <si>
    <t>3 PM - 8 PM</t>
  </si>
  <si>
    <t>5 AM - 10 AM</t>
  </si>
  <si>
    <t>8 PM - 12 AM</t>
  </si>
  <si>
    <t>Least Busiest Route</t>
  </si>
  <si>
    <t>Peak Hour</t>
  </si>
  <si>
    <t>Off-Peak Hour</t>
  </si>
  <si>
    <t>Year</t>
  </si>
  <si>
    <t>Caption</t>
  </si>
  <si>
    <t>Trend</t>
  </si>
  <si>
    <t>Legend</t>
  </si>
  <si>
    <t>▼</t>
  </si>
  <si>
    <t>▲</t>
  </si>
  <si>
    <t>Growth is good</t>
  </si>
  <si>
    <t>Total Riders</t>
  </si>
  <si>
    <t>YoY% Change</t>
  </si>
  <si>
    <t>Overall YoY% Change</t>
  </si>
  <si>
    <t>Improvement required</t>
  </si>
  <si>
    <t>DayName</t>
  </si>
  <si>
    <t>Above Average</t>
  </si>
  <si>
    <t>Average Riders Per Day</t>
  </si>
  <si>
    <t>Above Average Percentage</t>
  </si>
  <si>
    <t>Sun</t>
  </si>
  <si>
    <t>Mon</t>
  </si>
  <si>
    <t>Tue</t>
  </si>
  <si>
    <t>Wed</t>
  </si>
  <si>
    <t>Thu</t>
  </si>
  <si>
    <t>Fri</t>
  </si>
  <si>
    <t>Sat</t>
  </si>
  <si>
    <t>Occupation</t>
  </si>
  <si>
    <t>Other</t>
  </si>
  <si>
    <t>Professional</t>
  </si>
  <si>
    <t>Retired</t>
  </si>
  <si>
    <t>Self-Employed</t>
  </si>
  <si>
    <t>Student</t>
  </si>
  <si>
    <t>Unemployed</t>
  </si>
  <si>
    <t>Rank</t>
  </si>
  <si>
    <t>Above</t>
  </si>
  <si>
    <t>Total Buses</t>
  </si>
  <si>
    <t>Over-Utilized</t>
  </si>
  <si>
    <t>Under-Utilized</t>
  </si>
  <si>
    <t>Well-Utilized</t>
  </si>
  <si>
    <t>Total Buses Trips</t>
  </si>
  <si>
    <t>Bus Utilization During Trip</t>
  </si>
  <si>
    <t>Utilization %</t>
  </si>
  <si>
    <t>Left %</t>
  </si>
  <si>
    <t>Total</t>
  </si>
  <si>
    <t>DayNightOperation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</si>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</sst>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1" fontId="0" fillId="0" borderId="0" xfId="0" applyNumberFormat="1"/>
    <xf numFmtId="0" fontId="0" fillId="2" borderId="0" xfId="0" applyFill="1"/>
    <xf numFmtId="21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0" fontId="0" fillId="3" borderId="0" xfId="0" applyFill="1"/>
    <xf numFmtId="0" fontId="1" fillId="3" borderId="0" xfId="0" applyFont="1" applyFill="1"/>
    <xf numFmtId="10" fontId="1" fillId="3" borderId="0" xfId="0" applyNumberFormat="1" applyFont="1" applyFill="1"/>
    <xf numFmtId="9" fontId="0" fillId="0" borderId="0" xfId="1" applyFont="1"/>
    <xf numFmtId="9" fontId="1" fillId="3" borderId="0" xfId="0" applyNumberFormat="1" applyFont="1" applyFill="1"/>
    <xf numFmtId="0" fontId="1" fillId="0" borderId="0" xfId="0" applyFont="1"/>
    <xf numFmtId="164" fontId="0" fillId="0" borderId="0" xfId="0" applyNumberFormat="1"/>
    <xf numFmtId="164" fontId="0" fillId="0" borderId="0" xfId="2" applyNumberFormat="1" applyFont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54">
    <dxf>
      <font>
        <color rgb="FFC00000"/>
      </font>
    </dxf>
    <dxf>
      <font>
        <color theme="9" tint="-0.24994659260841701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numFmt numFmtId="164" formatCode="_ * #,##0_ ;_ * \-#,##0_ ;_ * &quot;-&quot;??_ ;_ @_ "/>
    </dxf>
    <dxf>
      <numFmt numFmtId="165" formatCode="_ * #,##0.0_ ;_ * \-#,##0.0_ ;_ * &quot;-&quot;??_ ;_ @_ 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3" tint="0.59999389629810485"/>
        </patternFill>
      </fill>
    </dxf>
    <dxf>
      <numFmt numFmtId="14" formatCode="0.00%"/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63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9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7.xml"/><Relationship Id="rId19" Type="http://schemas.openxmlformats.org/officeDocument/2006/relationships/connections" Target="connections.xml"/><Relationship Id="rId14" Type="http://schemas.openxmlformats.org/officeDocument/2006/relationships/pivotCacheDefinition" Target="pivotCache/pivotCacheDefinition12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7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styles" Target="styles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5"/>
        <c:holeSize val="4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 Dashboard.xlsx]Analysis Sheet!PivotTable6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Sheet'!$D$22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A7-4FA4-96C4-89040ED254C9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5A7-4FA4-96C4-89040ED254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Sheet'!$C$23:$C$26</c:f>
              <c:strCache>
                <c:ptCount val="4"/>
                <c:pt idx="0">
                  <c:v>8 PM - 12 AM</c:v>
                </c:pt>
                <c:pt idx="1">
                  <c:v>5 AM - 10 AM</c:v>
                </c:pt>
                <c:pt idx="2">
                  <c:v>3 PM - 8 PM</c:v>
                </c:pt>
                <c:pt idx="3">
                  <c:v>10 AM - 3 PM</c:v>
                </c:pt>
              </c:strCache>
            </c:strRef>
          </c:cat>
          <c:val>
            <c:numRef>
              <c:f>'Analysis Sheet'!$D$23:$D$26</c:f>
              <c:numCache>
                <c:formatCode>#,##0</c:formatCode>
                <c:ptCount val="4"/>
                <c:pt idx="0">
                  <c:v>1653</c:v>
                </c:pt>
                <c:pt idx="1">
                  <c:v>1345</c:v>
                </c:pt>
                <c:pt idx="2">
                  <c:v>1346</c:v>
                </c:pt>
                <c:pt idx="3">
                  <c:v>2243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7-4FA4-96C4-89040ED25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389389327"/>
        <c:axId val="389389807"/>
      </c:barChart>
      <c:catAx>
        <c:axId val="38938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389389807"/>
        <c:crosses val="autoZero"/>
        <c:auto val="1"/>
        <c:lblAlgn val="ctr"/>
        <c:lblOffset val="100"/>
        <c:noMultiLvlLbl val="0"/>
      </c:catAx>
      <c:valAx>
        <c:axId val="38938980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38938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 anchor="ctr" anchorCtr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[Transportation Dashboard.xlsx]Analysis Sheet!PivotTable8</c:name>
    <c:fmtId val="3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chemeClr val="tx2">
                  <a:lumMod val="32000"/>
                  <a:lumOff val="68000"/>
                </a:schemeClr>
              </a:gs>
              <a:gs pos="52500">
                <a:schemeClr val="tx2">
                  <a:lumMod val="94000"/>
                  <a:lumOff val="6000"/>
                </a:schemeClr>
              </a:gs>
              <a:gs pos="27000">
                <a:schemeClr val="tx2">
                  <a:lumMod val="59000"/>
                  <a:lumOff val="41000"/>
                </a:schemeClr>
              </a:gs>
              <a:gs pos="78000">
                <a:schemeClr val="tx2">
                  <a:lumMod val="75000"/>
                </a:schemeClr>
              </a:gs>
            </a:gsLst>
            <a:lin ang="10800000" scaled="0"/>
          </a:gradFill>
          <a:ln w="381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chemeClr val="tx2">
                  <a:lumMod val="32000"/>
                  <a:lumOff val="68000"/>
                </a:schemeClr>
              </a:gs>
              <a:gs pos="52500">
                <a:schemeClr val="tx2">
                  <a:lumMod val="94000"/>
                  <a:lumOff val="6000"/>
                </a:schemeClr>
              </a:gs>
              <a:gs pos="27000">
                <a:schemeClr val="tx2">
                  <a:lumMod val="59000"/>
                  <a:lumOff val="41000"/>
                </a:schemeClr>
              </a:gs>
              <a:gs pos="78000">
                <a:schemeClr val="tx2">
                  <a:lumMod val="75000"/>
                </a:schemeClr>
              </a:gs>
            </a:gsLst>
            <a:lin ang="10800000" scaled="0"/>
          </a:gradFill>
          <a:ln w="38100">
            <a:noFill/>
          </a:ln>
          <a:effectLst/>
        </c:spPr>
        <c:dLbl>
          <c:idx val="0"/>
          <c:layout>
            <c:manualLayout>
              <c:x val="5.0534233872641963E-2"/>
              <c:y val="-9.61960191367678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tx2">
                  <a:lumMod val="32000"/>
                  <a:lumOff val="68000"/>
                </a:schemeClr>
              </a:gs>
              <a:gs pos="52500">
                <a:schemeClr val="tx2">
                  <a:lumMod val="94000"/>
                  <a:lumOff val="6000"/>
                </a:schemeClr>
              </a:gs>
              <a:gs pos="27000">
                <a:schemeClr val="tx2">
                  <a:lumMod val="59000"/>
                  <a:lumOff val="41000"/>
                </a:schemeClr>
              </a:gs>
              <a:gs pos="78000">
                <a:schemeClr val="tx2">
                  <a:lumMod val="75000"/>
                </a:schemeClr>
              </a:gs>
            </a:gsLst>
            <a:lin ang="10800000" scaled="0"/>
          </a:gradFill>
          <a:ln w="38100">
            <a:noFill/>
          </a:ln>
          <a:effectLst/>
        </c:spPr>
        <c:dLbl>
          <c:idx val="0"/>
          <c:layout>
            <c:manualLayout>
              <c:x val="-6.8441370186798023E-2"/>
              <c:y val="-0.309488498982267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Consolas" panose="020B0609020204030204" pitchFamily="49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'Analysis Sheet'!$D$34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tx2">
                    <a:lumMod val="32000"/>
                    <a:lumOff val="68000"/>
                  </a:schemeClr>
                </a:gs>
                <a:gs pos="52500">
                  <a:schemeClr val="tx2">
                    <a:lumMod val="94000"/>
                    <a:lumOff val="6000"/>
                  </a:schemeClr>
                </a:gs>
                <a:gs pos="27000">
                  <a:schemeClr val="tx2">
                    <a:lumMod val="59000"/>
                    <a:lumOff val="41000"/>
                  </a:schemeClr>
                </a:gs>
                <a:gs pos="78000">
                  <a:schemeClr val="tx2">
                    <a:lumMod val="75000"/>
                  </a:schemeClr>
                </a:gs>
              </a:gsLst>
              <a:lin ang="10800000" scaled="0"/>
            </a:gradFill>
            <a:ln w="38100"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BFCB-4EE1-BEA2-22B95963F62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FCB-4EE1-BEA2-22B95963F62E}"/>
              </c:ext>
            </c:extLst>
          </c:dPt>
          <c:dLbls>
            <c:dLbl>
              <c:idx val="0"/>
              <c:layout>
                <c:manualLayout>
                  <c:x val="-6.8441370186798023E-2"/>
                  <c:y val="-0.309488498982267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CB-4EE1-BEA2-22B95963F62E}"/>
                </c:ext>
              </c:extLst>
            </c:dLbl>
            <c:dLbl>
              <c:idx val="1"/>
              <c:layout>
                <c:manualLayout>
                  <c:x val="5.0534233872641963E-2"/>
                  <c:y val="-9.61960191367678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CB-4EE1-BEA2-22B95963F6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 cap="flat" cmpd="sng" algn="ctr">
                      <a:solidFill>
                        <a:schemeClr val="bg2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Sheet'!$C$35:$C$36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Sheet'!$D$35:$D$36</c:f>
              <c:numCache>
                <c:formatCode>#,##0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B-4EE1-BEA2-22B95963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290671"/>
        <c:axId val="888291631"/>
      </c:areaChart>
      <c:catAx>
        <c:axId val="8882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888291631"/>
        <c:crosses val="autoZero"/>
        <c:auto val="1"/>
        <c:lblAlgn val="ctr"/>
        <c:lblOffset val="100"/>
        <c:noMultiLvlLbl val="0"/>
      </c:catAx>
      <c:valAx>
        <c:axId val="888291631"/>
        <c:scaling>
          <c:orientation val="minMax"/>
        </c:scaling>
        <c:delete val="1"/>
        <c:axPos val="l"/>
        <c:numFmt formatCode="#,##0_);\(#,##0\)" sourceLinked="0"/>
        <c:majorTickMark val="none"/>
        <c:minorTickMark val="none"/>
        <c:tickLblPos val="nextTo"/>
        <c:crossAx val="88829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Sheet'!$G$51</c:f>
              <c:strCache>
                <c:ptCount val="1"/>
                <c:pt idx="0">
                  <c:v>Total Riders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4B-4A11-AE59-96E12B9B76E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F4B-4A11-AE59-96E12B9B76E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F4B-4A11-AE59-96E12B9B76E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F4B-4A11-AE59-96E12B9B7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Sheet'!$F$52:$F$57</c:f>
              <c:strCache>
                <c:ptCount val="6"/>
                <c:pt idx="0">
                  <c:v>Other</c:v>
                </c:pt>
                <c:pt idx="1">
                  <c:v>Professional</c:v>
                </c:pt>
                <c:pt idx="2">
                  <c:v>Self-Employed</c:v>
                </c:pt>
                <c:pt idx="3">
                  <c:v>Unemployed</c:v>
                </c:pt>
                <c:pt idx="4">
                  <c:v>Retired</c:v>
                </c:pt>
                <c:pt idx="5">
                  <c:v>Student</c:v>
                </c:pt>
              </c:strCache>
            </c:strRef>
          </c:cat>
          <c:val>
            <c:numRef>
              <c:f>'Analysis Sheet'!$G$52:$G$57</c:f>
              <c:numCache>
                <c:formatCode>_ * #,##0_ ;_ * \-#,##0_ ;_ * "-"??_ ;_ @_ </c:formatCode>
                <c:ptCount val="6"/>
                <c:pt idx="0">
                  <c:v>1633</c:v>
                </c:pt>
                <c:pt idx="1">
                  <c:v>1554</c:v>
                </c:pt>
                <c:pt idx="2">
                  <c:v>1321</c:v>
                </c:pt>
                <c:pt idx="3">
                  <c:v>1011</c:v>
                </c:pt>
                <c:pt idx="4">
                  <c:v>589</c:v>
                </c:pt>
                <c:pt idx="5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B-4A11-AE59-96E12B9B76EB}"/>
            </c:ext>
          </c:extLst>
        </c:ser>
        <c:ser>
          <c:idx val="2"/>
          <c:order val="2"/>
          <c:tx>
            <c:strRef>
              <c:f>'Analysis Sheet'!$I$51</c:f>
              <c:strCache>
                <c:ptCount val="1"/>
                <c:pt idx="0">
                  <c:v>Above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Sheet'!$F$52:$F$57</c:f>
              <c:strCache>
                <c:ptCount val="6"/>
                <c:pt idx="0">
                  <c:v>Other</c:v>
                </c:pt>
                <c:pt idx="1">
                  <c:v>Professional</c:v>
                </c:pt>
                <c:pt idx="2">
                  <c:v>Self-Employed</c:v>
                </c:pt>
                <c:pt idx="3">
                  <c:v>Unemployed</c:v>
                </c:pt>
                <c:pt idx="4">
                  <c:v>Retired</c:v>
                </c:pt>
                <c:pt idx="5">
                  <c:v>Student</c:v>
                </c:pt>
              </c:strCache>
            </c:strRef>
          </c:cat>
          <c:val>
            <c:numRef>
              <c:f>'Analysis Sheet'!$I$52:$I$57</c:f>
              <c:numCache>
                <c:formatCode>_ * #,##0_ ;_ * \-#,##0_ ;_ * "-"??_ ;_ @_ </c:formatCode>
                <c:ptCount val="6"/>
                <c:pt idx="0">
                  <c:v>0</c:v>
                </c:pt>
                <c:pt idx="1">
                  <c:v>1554</c:v>
                </c:pt>
                <c:pt idx="2">
                  <c:v>1321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B-4A11-AE59-96E12B9B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"/>
        <c:overlap val="100"/>
        <c:axId val="1712533152"/>
        <c:axId val="17125168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'Analysis Sheet'!$H$51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'Analysis Sheet'!$F$52:$F$57</c15:sqref>
                        </c15:formulaRef>
                      </c:ext>
                    </c:extLst>
                    <c:strCache>
                      <c:ptCount val="6"/>
                      <c:pt idx="0">
                        <c:v>Other</c:v>
                      </c:pt>
                      <c:pt idx="1">
                        <c:v>Professional</c:v>
                      </c:pt>
                      <c:pt idx="2">
                        <c:v>Self-Employed</c:v>
                      </c:pt>
                      <c:pt idx="3">
                        <c:v>Unemployed</c:v>
                      </c:pt>
                      <c:pt idx="4">
                        <c:v>Retired</c:v>
                      </c:pt>
                      <c:pt idx="5">
                        <c:v>Student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'Analysis Sheet'!$H$52:$H$57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F4B-4A11-AE59-96E12B9B76EB}"/>
                  </c:ext>
                </c:extLst>
              </c15:ser>
            </c15:filteredBarSeries>
          </c:ext>
        </c:extLst>
      </c:barChart>
      <c:catAx>
        <c:axId val="171253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712516832"/>
        <c:crosses val="autoZero"/>
        <c:auto val="1"/>
        <c:lblAlgn val="ctr"/>
        <c:lblOffset val="100"/>
        <c:noMultiLvlLbl val="0"/>
      </c:catAx>
      <c:valAx>
        <c:axId val="1712516832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71253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518149841783266E-2"/>
          <c:y val="0"/>
          <c:w val="0.94696370031643351"/>
          <c:h val="0.84899380062439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Sheet'!$G$40</c:f>
              <c:strCache>
                <c:ptCount val="1"/>
                <c:pt idx="0">
                  <c:v>Total Riders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C0D-4549-8904-6BBFA60796B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C0D-4549-8904-6BBFA60796B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C0D-4549-8904-6BBFA60796B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onsolas" panose="020B0609020204030204" pitchFamily="49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C0D-4549-8904-6BBFA6079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Sheet'!$F$41:$F$47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Sheet'!$G$41:$G$47</c:f>
              <c:numCache>
                <c:formatCode>_ * #,##0_ ;_ * \-#,##0_ ;_ * "-"??_ ;_ @_ 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0D-4549-8904-6BBFA60796B0}"/>
            </c:ext>
          </c:extLst>
        </c:ser>
        <c:ser>
          <c:idx val="2"/>
          <c:order val="2"/>
          <c:tx>
            <c:strRef>
              <c:f>'Analysis Sheet'!$I$40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'Analysis Sheet'!$I$41:$I$47</c:f>
              <c:numCache>
                <c:formatCode>_ * #,##0_ ;_ * \-#,##0_ ;_ * "-"??_ ;_ @_ 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0D-4549-8904-6BBFA6079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2381280"/>
        <c:axId val="152376480"/>
      </c:barChart>
      <c:lineChart>
        <c:grouping val="standard"/>
        <c:varyColors val="0"/>
        <c:ser>
          <c:idx val="1"/>
          <c:order val="1"/>
          <c:tx>
            <c:strRef>
              <c:f>'Analysis Sheet'!$H$40</c:f>
              <c:strCache>
                <c:ptCount val="1"/>
                <c:pt idx="0">
                  <c:v>Average Riders Per Day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0D-4549-8904-6BBFA60796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nsolas" panose="020B0609020204030204" pitchFamily="49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'Analysis Sheet'!$H$41:$H$47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0D-4549-8904-6BBFA6079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81280"/>
        <c:axId val="152376480"/>
      </c:lineChart>
      <c:catAx>
        <c:axId val="152381280"/>
        <c:scaling>
          <c:orientation val="minMax"/>
        </c:scaling>
        <c:delete val="0"/>
        <c:axPos val="b"/>
        <c:numFmt formatCode="[$-14009]dddd\,\ d\ mmmm\,\ yyyy;@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en-US"/>
          </a:p>
        </c:txPr>
        <c:crossAx val="152376480"/>
        <c:crosses val="autoZero"/>
        <c:auto val="1"/>
        <c:lblAlgn val="ctr"/>
        <c:lblOffset val="100"/>
        <c:noMultiLvlLbl val="0"/>
      </c:catAx>
      <c:valAx>
        <c:axId val="15237648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5238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Sheet'!$F$62</c:f>
              <c:strCache>
                <c:ptCount val="1"/>
                <c:pt idx="0">
                  <c:v>Well-Utilized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7-461A-8A48-D22FD14A4F54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7-461A-8A48-D22FD14A4F54}"/>
              </c:ext>
            </c:extLst>
          </c:dPt>
          <c:val>
            <c:numRef>
              <c:f>'Analysis Sheet'!$G$62:$H$62</c:f>
              <c:numCache>
                <c:formatCode>0%</c:formatCode>
                <c:ptCount val="2"/>
                <c:pt idx="0">
                  <c:v>0.40963855421686746</c:v>
                </c:pt>
                <c:pt idx="1">
                  <c:v>0.59036144578313254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B7-461A-8A48-D22FD14A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Sheet'!$F$61</c:f>
              <c:strCache>
                <c:ptCount val="1"/>
                <c:pt idx="0">
                  <c:v>Under-Utilized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72-463F-8F84-A6C0B4BE3EEB}"/>
              </c:ext>
            </c:extLst>
          </c:dPt>
          <c:dPt>
            <c:idx val="1"/>
            <c:bubble3D val="0"/>
            <c:spPr>
              <a:solidFill>
                <a:schemeClr val="tx2">
                  <a:alpha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72-463F-8F84-A6C0B4BE3EEB}"/>
              </c:ext>
            </c:extLst>
          </c:dPt>
          <c:val>
            <c:numRef>
              <c:f>'Analysis Sheet'!$G$61:$H$61</c:f>
              <c:numCache>
                <c:formatCode>0%</c:formatCode>
                <c:ptCount val="2"/>
                <c:pt idx="0">
                  <c:v>0.3493975903614458</c:v>
                </c:pt>
                <c:pt idx="1">
                  <c:v>0.6506024096385542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72-463F-8F84-A6C0B4BE3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Sheet'!$F$60</c:f>
              <c:strCache>
                <c:ptCount val="1"/>
                <c:pt idx="0">
                  <c:v>Over-Utilized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8A-432A-9595-7B3CBCA6A002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8A-432A-9595-7B3CBCA6A002}"/>
              </c:ext>
            </c:extLst>
          </c:dPt>
          <c:val>
            <c:numRef>
              <c:f>'Analysis Sheet'!$G$60:$H$60</c:f>
              <c:numCache>
                <c:formatCode>0%</c:formatCode>
                <c:ptCount val="2"/>
                <c:pt idx="0">
                  <c:v>0.24096385542168675</c:v>
                </c:pt>
                <c:pt idx="1">
                  <c:v>0.75903614457831325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8A-432A-9595-7B3CBCA6A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0.svg"/><Relationship Id="rId18" Type="http://schemas.openxmlformats.org/officeDocument/2006/relationships/chart" Target="../charts/chart6.xml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17" Type="http://schemas.openxmlformats.org/officeDocument/2006/relationships/chart" Target="../charts/chart5.xml"/><Relationship Id="rId2" Type="http://schemas.openxmlformats.org/officeDocument/2006/relationships/chart" Target="../charts/chart2.xml"/><Relationship Id="rId16" Type="http://schemas.openxmlformats.org/officeDocument/2006/relationships/chart" Target="../charts/chart4.xml"/><Relationship Id="rId20" Type="http://schemas.openxmlformats.org/officeDocument/2006/relationships/chart" Target="../charts/chart8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image" Target="../media/image12.svg"/><Relationship Id="rId10" Type="http://schemas.openxmlformats.org/officeDocument/2006/relationships/image" Target="../media/image7.png"/><Relationship Id="rId19" Type="http://schemas.openxmlformats.org/officeDocument/2006/relationships/chart" Target="../charts/chart7.xml"/><Relationship Id="rId4" Type="http://schemas.openxmlformats.org/officeDocument/2006/relationships/image" Target="../media/image2.svg"/><Relationship Id="rId9" Type="http://schemas.openxmlformats.org/officeDocument/2006/relationships/chart" Target="../charts/chart3.xml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54689</xdr:colOff>
      <xdr:row>4</xdr:row>
      <xdr:rowOff>120056</xdr:rowOff>
    </xdr:from>
    <xdr:to>
      <xdr:col>32</xdr:col>
      <xdr:colOff>65315</xdr:colOff>
      <xdr:row>55</xdr:row>
      <xdr:rowOff>162109</xdr:rowOff>
    </xdr:to>
    <xdr:sp macro="" textlink="">
      <xdr:nvSpPr>
        <xdr:cNvPr id="11" name="Rectangle: Rounded Corners 1">
          <a:extLst>
            <a:ext uri="{FF2B5EF4-FFF2-40B4-BE49-F238E27FC236}">
              <a16:creationId xmlns:a16="http://schemas.microsoft.com/office/drawing/2014/main" id="{19A338F9-E9A6-4473-845F-874FB771445B}"/>
            </a:ext>
          </a:extLst>
        </xdr:cNvPr>
        <xdr:cNvSpPr/>
      </xdr:nvSpPr>
      <xdr:spPr>
        <a:xfrm>
          <a:off x="662230" y="120056"/>
          <a:ext cx="18844382" cy="9494972"/>
        </a:xfrm>
        <a:prstGeom prst="roundRect">
          <a:avLst>
            <a:gd name="adj" fmla="val 3188"/>
          </a:avLst>
        </a:prstGeom>
        <a:solidFill>
          <a:schemeClr val="bg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900" b="1"/>
        </a:p>
      </xdr:txBody>
    </xdr:sp>
    <xdr:clientData/>
  </xdr:twoCellAnchor>
  <xdr:twoCellAnchor>
    <xdr:from>
      <xdr:col>27</xdr:col>
      <xdr:colOff>88232</xdr:colOff>
      <xdr:row>32</xdr:row>
      <xdr:rowOff>8313</xdr:rowOff>
    </xdr:from>
    <xdr:to>
      <xdr:col>32</xdr:col>
      <xdr:colOff>473242</xdr:colOff>
      <xdr:row>40</xdr:row>
      <xdr:rowOff>146739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E223C8E0-A76A-6B8C-0712-45EB83CB1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174433</xdr:colOff>
      <xdr:row>5</xdr:row>
      <xdr:rowOff>12376</xdr:rowOff>
    </xdr:from>
    <xdr:to>
      <xdr:col>31</xdr:col>
      <xdr:colOff>549165</xdr:colOff>
      <xdr:row>55</xdr:row>
      <xdr:rowOff>30571</xdr:rowOff>
    </xdr:to>
    <xdr:grpSp>
      <xdr:nvGrpSpPr>
        <xdr:cNvPr id="169" name="Group 168">
          <a:extLst>
            <a:ext uri="{FF2B5EF4-FFF2-40B4-BE49-F238E27FC236}">
              <a16:creationId xmlns:a16="http://schemas.microsoft.com/office/drawing/2014/main" id="{BE8F7D4C-AF1C-62C2-6F6F-339A0C99EA68}"/>
            </a:ext>
          </a:extLst>
        </xdr:cNvPr>
        <xdr:cNvGrpSpPr/>
      </xdr:nvGrpSpPr>
      <xdr:grpSpPr>
        <a:xfrm>
          <a:off x="781974" y="939133"/>
          <a:ext cx="18600948" cy="9285762"/>
          <a:chOff x="786038" y="192850"/>
          <a:chExt cx="18722890" cy="9041879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0636FB2-D4D9-474F-A88C-EA49115A3126}"/>
              </a:ext>
            </a:extLst>
          </xdr:cNvPr>
          <xdr:cNvGrpSpPr/>
        </xdr:nvGrpSpPr>
        <xdr:grpSpPr>
          <a:xfrm>
            <a:off x="786038" y="2250943"/>
            <a:ext cx="8338865" cy="3444985"/>
            <a:chOff x="779858" y="2857102"/>
            <a:chExt cx="8258516" cy="3531172"/>
          </a:xfrm>
        </xdr:grpSpPr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1A1BD688-D599-3C29-1A09-16EF548A9DC4}"/>
                </a:ext>
              </a:extLst>
            </xdr:cNvPr>
            <xdr:cNvGrpSpPr/>
          </xdr:nvGrpSpPr>
          <xdr:grpSpPr>
            <a:xfrm>
              <a:off x="779858" y="2857102"/>
              <a:ext cx="8258516" cy="3531172"/>
              <a:chOff x="779858" y="2857102"/>
              <a:chExt cx="8258516" cy="3531172"/>
            </a:xfrm>
          </xdr:grpSpPr>
          <xdr:sp macro="" textlink="">
            <xdr:nvSpPr>
              <xdr:cNvPr id="41" name="Rectangle: Rounded Corners 1">
                <a:extLst>
                  <a:ext uri="{FF2B5EF4-FFF2-40B4-BE49-F238E27FC236}">
                    <a16:creationId xmlns:a16="http://schemas.microsoft.com/office/drawing/2014/main" id="{EFF5620A-EF71-43FC-A54C-38FC22651100}"/>
                  </a:ext>
                </a:extLst>
              </xdr:cNvPr>
              <xdr:cNvSpPr/>
            </xdr:nvSpPr>
            <xdr:spPr>
              <a:xfrm>
                <a:off x="779858" y="2857102"/>
                <a:ext cx="8258516" cy="3531172"/>
              </a:xfrm>
              <a:prstGeom prst="roundRect">
                <a:avLst>
                  <a:gd name="adj" fmla="val 6418"/>
                </a:avLst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900" b="1"/>
              </a:p>
            </xdr:txBody>
          </xdr:sp>
          <xdr:graphicFrame macro="">
            <xdr:nvGraphicFramePr>
              <xdr:cNvPr id="110" name="Chart 39">
                <a:extLst>
                  <a:ext uri="{FF2B5EF4-FFF2-40B4-BE49-F238E27FC236}">
                    <a16:creationId xmlns:a16="http://schemas.microsoft.com/office/drawing/2014/main" id="{88C318C6-8DA7-4281-A3E4-30403646867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47330" y="3239132"/>
              <a:ext cx="6159581" cy="305801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sp macro="" textlink="">
            <xdr:nvSpPr>
              <xdr:cNvPr id="112" name="TextBox 42">
                <a:extLst>
                  <a:ext uri="{FF2B5EF4-FFF2-40B4-BE49-F238E27FC236}">
                    <a16:creationId xmlns:a16="http://schemas.microsoft.com/office/drawing/2014/main" id="{B2D39991-4041-4B5E-8A20-2CDDBAB5CDD6}"/>
                  </a:ext>
                </a:extLst>
              </xdr:cNvPr>
              <xdr:cNvSpPr txBox="1"/>
            </xdr:nvSpPr>
            <xdr:spPr>
              <a:xfrm>
                <a:off x="862921" y="2934197"/>
                <a:ext cx="5538566" cy="421209"/>
              </a:xfrm>
              <a:prstGeom prst="roundRect">
                <a:avLst>
                  <a:gd name="adj" fmla="val 30856"/>
                </a:avLst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algn="ctr"/>
                <a:r>
                  <a:rPr lang="en-IN" sz="22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rPr>
                  <a:t>Commuters during Different Hours</a:t>
                </a:r>
                <a:endParaRPr lang="en-IN" sz="2200" b="1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endParaRPr>
              </a:p>
            </xdr:txBody>
          </xdr:sp>
        </xdr:grpSp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0AC49C45-8681-F8AB-B0CB-22CBD00406CF}"/>
                </a:ext>
              </a:extLst>
            </xdr:cNvPr>
            <xdr:cNvGrpSpPr/>
          </xdr:nvGrpSpPr>
          <xdr:grpSpPr>
            <a:xfrm>
              <a:off x="6715202" y="2940435"/>
              <a:ext cx="2244302" cy="3355476"/>
              <a:chOff x="7593017" y="2850531"/>
              <a:chExt cx="2256828" cy="3247590"/>
            </a:xfrm>
          </xdr:grpSpPr>
          <xdr:grpSp>
            <xdr:nvGrpSpPr>
              <xdr:cNvPr id="42" name="Group 41">
                <a:extLst>
                  <a:ext uri="{FF2B5EF4-FFF2-40B4-BE49-F238E27FC236}">
                    <a16:creationId xmlns:a16="http://schemas.microsoft.com/office/drawing/2014/main" id="{F8E4EB5A-46E7-36E7-DDAD-ED5E8EE769E5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7593017" y="2850531"/>
                <a:ext cx="2256828" cy="1590944"/>
                <a:chOff x="7990240" y="2710190"/>
                <a:chExt cx="2246853" cy="1573684"/>
              </a:xfrm>
              <a:solidFill>
                <a:schemeClr val="tx2">
                  <a:lumMod val="40000"/>
                  <a:lumOff val="60000"/>
                </a:schemeClr>
              </a:solidFill>
            </xdr:grpSpPr>
            <xdr:grpSp>
              <xdr:nvGrpSpPr>
                <xdr:cNvPr id="2" name="Group 1">
                  <a:extLst>
                    <a:ext uri="{FF2B5EF4-FFF2-40B4-BE49-F238E27FC236}">
                      <a16:creationId xmlns:a16="http://schemas.microsoft.com/office/drawing/2014/main" id="{B8918F65-4335-4CC3-BFB0-2291310D096A}"/>
                    </a:ext>
                  </a:extLst>
                </xdr:cNvPr>
                <xdr:cNvGrpSpPr/>
              </xdr:nvGrpSpPr>
              <xdr:grpSpPr>
                <a:xfrm>
                  <a:off x="7990240" y="2710190"/>
                  <a:ext cx="2246853" cy="1573684"/>
                  <a:chOff x="791715" y="1097148"/>
                  <a:chExt cx="2247723" cy="1234859"/>
                </a:xfrm>
                <a:grpFill/>
              </xdr:grpSpPr>
              <xdr:grpSp>
                <xdr:nvGrpSpPr>
                  <xdr:cNvPr id="3" name="Group 2">
                    <a:extLst>
                      <a:ext uri="{FF2B5EF4-FFF2-40B4-BE49-F238E27FC236}">
                        <a16:creationId xmlns:a16="http://schemas.microsoft.com/office/drawing/2014/main" id="{E0488306-C2A5-4857-7BB0-8D4D2FE38D6F}"/>
                      </a:ext>
                    </a:extLst>
                  </xdr:cNvPr>
                  <xdr:cNvGrpSpPr/>
                </xdr:nvGrpSpPr>
                <xdr:grpSpPr>
                  <a:xfrm>
                    <a:off x="791715" y="1097148"/>
                    <a:ext cx="2247723" cy="1234859"/>
                    <a:chOff x="4260887" y="197240"/>
                    <a:chExt cx="7350560" cy="947748"/>
                  </a:xfrm>
                  <a:grpFill/>
                </xdr:grpSpPr>
                <xdr:sp macro="" textlink="">
                  <xdr:nvSpPr>
                    <xdr:cNvPr id="8" name="Rectangle: Rounded Corners 1">
                      <a:extLst>
                        <a:ext uri="{FF2B5EF4-FFF2-40B4-BE49-F238E27FC236}">
                          <a16:creationId xmlns:a16="http://schemas.microsoft.com/office/drawing/2014/main" id="{B4B13EA4-CDB9-2881-9522-8DF1F9FCA8AB}"/>
                        </a:ext>
                      </a:extLst>
                    </xdr:cNvPr>
                    <xdr:cNvSpPr/>
                  </xdr:nvSpPr>
                  <xdr:spPr>
                    <a:xfrm>
                      <a:off x="4260887" y="197240"/>
                      <a:ext cx="7350560" cy="947748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sp macro="" textlink="">
                  <xdr:nvSpPr>
                    <xdr:cNvPr id="9" name="TextBox 8">
                      <a:extLst>
                        <a:ext uri="{FF2B5EF4-FFF2-40B4-BE49-F238E27FC236}">
                          <a16:creationId xmlns:a16="http://schemas.microsoft.com/office/drawing/2014/main" id="{833614A4-5901-6728-7E32-0E280C50FEDD}"/>
                        </a:ext>
                      </a:extLst>
                    </xdr:cNvPr>
                    <xdr:cNvSpPr txBox="1"/>
                  </xdr:nvSpPr>
                  <xdr:spPr>
                    <a:xfrm>
                      <a:off x="4320068" y="564447"/>
                      <a:ext cx="7225818" cy="165650"/>
                    </a:xfrm>
                    <a:prstGeom prst="roundRect">
                      <a:avLst/>
                    </a:prstGeom>
                    <a:grp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rtlCol="0" anchor="ctr" anchorCtr="0"/>
                    <a:lstStyle/>
                    <a:p>
                      <a:pPr algn="ctr"/>
                      <a:r>
                        <a:rPr lang="en-IN" sz="1200" b="1">
                          <a:solidFill>
                            <a:schemeClr val="bg1"/>
                          </a:solidFill>
                          <a:latin typeface="Consolas" panose="020B0609020204030204" pitchFamily="49" charset="0"/>
                          <a:ea typeface="Verdana" panose="020B0604030504040204" pitchFamily="34" charset="0"/>
                          <a:cs typeface="Cascadia Code" panose="020B0609020000020004" pitchFamily="49" charset="0"/>
                        </a:rPr>
                        <a:t>Peak Time</a:t>
                      </a:r>
                    </a:p>
                  </xdr:txBody>
                </xdr:sp>
              </xdr:grpSp>
              <xdr:sp macro="" textlink="'Analysis Sheet'!$C$29">
                <xdr:nvSpPr>
                  <xdr:cNvPr id="4" name="TextBox 3">
                    <a:extLst>
                      <a:ext uri="{FF2B5EF4-FFF2-40B4-BE49-F238E27FC236}">
                        <a16:creationId xmlns:a16="http://schemas.microsoft.com/office/drawing/2014/main" id="{626A7223-671D-ADFF-4AE4-E9C6662D788E}"/>
                      </a:ext>
                    </a:extLst>
                  </xdr:cNvPr>
                  <xdr:cNvSpPr txBox="1"/>
                </xdr:nvSpPr>
                <xdr:spPr>
                  <a:xfrm>
                    <a:off x="809812" y="1828100"/>
                    <a:ext cx="2209578" cy="226120"/>
                  </a:xfrm>
                  <a:prstGeom prst="roundRect">
                    <a:avLst>
                      <a:gd name="adj" fmla="val 22301"/>
                    </a:avLst>
                  </a:prstGeom>
                  <a:grp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fld id="{6CC6B7E0-1657-4A20-8234-06196502D186}" type="TxLink">
                      <a:rPr lang="en-US" sz="2400" b="1" i="0" u="none" strike="noStrike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pPr algn="ctr"/>
                      <a:t>20:57:00</a:t>
                    </a:fld>
                    <a:endParaRPr lang="en-IN" sz="7200" b="1" i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pic>
              <xdr:nvPicPr>
                <xdr:cNvPr id="25" name="Graphic 24" descr="Business Growth with solid fill">
                  <a:extLst>
                    <a:ext uri="{FF2B5EF4-FFF2-40B4-BE49-F238E27FC236}">
                      <a16:creationId xmlns:a16="http://schemas.microsoft.com/office/drawing/2014/main" id="{AF91CD6E-7256-C1D6-B80A-3ADC308B02D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817122" y="2798876"/>
                  <a:ext cx="593089" cy="593089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57" name="Group 56">
                <a:extLst>
                  <a:ext uri="{FF2B5EF4-FFF2-40B4-BE49-F238E27FC236}">
                    <a16:creationId xmlns:a16="http://schemas.microsoft.com/office/drawing/2014/main" id="{6521150C-856B-9BDA-3917-0A3CC1B3FF5E}"/>
                  </a:ext>
                </a:extLst>
              </xdr:cNvPr>
              <xdr:cNvGrpSpPr/>
            </xdr:nvGrpSpPr>
            <xdr:grpSpPr>
              <a:xfrm>
                <a:off x="7593017" y="4507176"/>
                <a:ext cx="2256828" cy="1590945"/>
                <a:chOff x="7593017" y="4530773"/>
                <a:chExt cx="2256828" cy="1599794"/>
              </a:xfrm>
            </xdr:grpSpPr>
            <xdr:grpSp>
              <xdr:nvGrpSpPr>
                <xdr:cNvPr id="49" name="Group 48">
                  <a:extLst>
                    <a:ext uri="{FF2B5EF4-FFF2-40B4-BE49-F238E27FC236}">
                      <a16:creationId xmlns:a16="http://schemas.microsoft.com/office/drawing/2014/main" id="{096851B0-5382-BF36-BDF8-1FC004E00181}"/>
                    </a:ext>
                  </a:extLst>
                </xdr:cNvPr>
                <xdr:cNvGrpSpPr/>
              </xdr:nvGrpSpPr>
              <xdr:grpSpPr>
                <a:xfrm>
                  <a:off x="7593017" y="4530773"/>
                  <a:ext cx="2256828" cy="1599794"/>
                  <a:chOff x="791715" y="1097148"/>
                  <a:chExt cx="2247723" cy="1234859"/>
                </a:xfrm>
                <a:solidFill>
                  <a:schemeClr val="tx2">
                    <a:lumMod val="40000"/>
                    <a:lumOff val="60000"/>
                  </a:schemeClr>
                </a:solidFill>
              </xdr:grpSpPr>
              <xdr:grpSp>
                <xdr:nvGrpSpPr>
                  <xdr:cNvPr id="51" name="Group 50">
                    <a:extLst>
                      <a:ext uri="{FF2B5EF4-FFF2-40B4-BE49-F238E27FC236}">
                        <a16:creationId xmlns:a16="http://schemas.microsoft.com/office/drawing/2014/main" id="{A787672A-44EF-2D55-BF14-4C967CA7ABE6}"/>
                      </a:ext>
                    </a:extLst>
                  </xdr:cNvPr>
                  <xdr:cNvGrpSpPr/>
                </xdr:nvGrpSpPr>
                <xdr:grpSpPr>
                  <a:xfrm>
                    <a:off x="791715" y="1097148"/>
                    <a:ext cx="2247723" cy="1234859"/>
                    <a:chOff x="4260887" y="197240"/>
                    <a:chExt cx="7350560" cy="947748"/>
                  </a:xfrm>
                  <a:grpFill/>
                </xdr:grpSpPr>
                <xdr:sp macro="" textlink="">
                  <xdr:nvSpPr>
                    <xdr:cNvPr id="53" name="Rectangle: Rounded Corners 1">
                      <a:extLst>
                        <a:ext uri="{FF2B5EF4-FFF2-40B4-BE49-F238E27FC236}">
                          <a16:creationId xmlns:a16="http://schemas.microsoft.com/office/drawing/2014/main" id="{0DB26E87-56B5-DED1-25C3-8D4D62FDED3D}"/>
                        </a:ext>
                      </a:extLst>
                    </xdr:cNvPr>
                    <xdr:cNvSpPr/>
                  </xdr:nvSpPr>
                  <xdr:spPr>
                    <a:xfrm>
                      <a:off x="4260887" y="197240"/>
                      <a:ext cx="7350560" cy="947748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sp macro="" textlink="">
                  <xdr:nvSpPr>
                    <xdr:cNvPr id="54" name="TextBox 53">
                      <a:extLst>
                        <a:ext uri="{FF2B5EF4-FFF2-40B4-BE49-F238E27FC236}">
                          <a16:creationId xmlns:a16="http://schemas.microsoft.com/office/drawing/2014/main" id="{E4548017-840F-4D19-D63F-6DF9C707544E}"/>
                        </a:ext>
                      </a:extLst>
                    </xdr:cNvPr>
                    <xdr:cNvSpPr txBox="1"/>
                  </xdr:nvSpPr>
                  <xdr:spPr>
                    <a:xfrm>
                      <a:off x="4320068" y="564447"/>
                      <a:ext cx="7225818" cy="165650"/>
                    </a:xfrm>
                    <a:prstGeom prst="roundRect">
                      <a:avLst/>
                    </a:prstGeom>
                    <a:grp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rtlCol="0" anchor="ctr" anchorCtr="0"/>
                    <a:lstStyle/>
                    <a:p>
                      <a:pPr algn="ctr"/>
                      <a:r>
                        <a:rPr lang="en-IN" sz="1200" b="1">
                          <a:solidFill>
                            <a:schemeClr val="bg1"/>
                          </a:solidFill>
                          <a:latin typeface="Consolas" panose="020B0609020204030204" pitchFamily="49" charset="0"/>
                          <a:ea typeface="Verdana" panose="020B0604030504040204" pitchFamily="34" charset="0"/>
                          <a:cs typeface="Cascadia Code" panose="020B0609020000020004" pitchFamily="49" charset="0"/>
                        </a:rPr>
                        <a:t>Off-Peak Time</a:t>
                      </a:r>
                    </a:p>
                  </xdr:txBody>
                </xdr:sp>
              </xdr:grpSp>
              <xdr:sp macro="" textlink="'Analysis Sheet'!$C$32">
                <xdr:nvSpPr>
                  <xdr:cNvPr id="52" name="TextBox 51">
                    <a:extLst>
                      <a:ext uri="{FF2B5EF4-FFF2-40B4-BE49-F238E27FC236}">
                        <a16:creationId xmlns:a16="http://schemas.microsoft.com/office/drawing/2014/main" id="{F0E850F2-FC88-9C46-8824-A20A1C5353B4}"/>
                      </a:ext>
                    </a:extLst>
                  </xdr:cNvPr>
                  <xdr:cNvSpPr txBox="1"/>
                </xdr:nvSpPr>
                <xdr:spPr>
                  <a:xfrm>
                    <a:off x="809812" y="1828100"/>
                    <a:ext cx="2209578" cy="226120"/>
                  </a:xfrm>
                  <a:prstGeom prst="roundRect">
                    <a:avLst>
                      <a:gd name="adj" fmla="val 22301"/>
                    </a:avLst>
                  </a:prstGeom>
                  <a:grp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fld id="{D0BCADEA-43A7-49F0-AB1E-46A0B5AE1BAE}" type="TxLink">
                      <a:rPr lang="en-US" sz="2400" b="1" i="0" u="none" strike="noStrike">
                        <a:solidFill>
                          <a:srgbClr val="000000"/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pPr algn="ctr"/>
                      <a:t>19:50:00</a:t>
                    </a:fld>
                    <a:endParaRPr lang="en-IN" sz="2400" b="1" i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grpSp>
              <xdr:nvGrpSpPr>
                <xdr:cNvPr id="47" name="Group 46">
                  <a:extLst>
                    <a:ext uri="{FF2B5EF4-FFF2-40B4-BE49-F238E27FC236}">
                      <a16:creationId xmlns:a16="http://schemas.microsoft.com/office/drawing/2014/main" id="{08C57A82-9AF8-97A4-CEE4-3F6794B679AA}"/>
                    </a:ext>
                  </a:extLst>
                </xdr:cNvPr>
                <xdr:cNvGrpSpPr>
                  <a:grpSpLocks noChangeAspect="1"/>
                </xdr:cNvGrpSpPr>
              </xdr:nvGrpSpPr>
              <xdr:grpSpPr>
                <a:xfrm>
                  <a:off x="8453946" y="4595099"/>
                  <a:ext cx="534971" cy="607301"/>
                  <a:chOff x="11462081" y="4390573"/>
                  <a:chExt cx="983918" cy="1109760"/>
                </a:xfrm>
                <a:solidFill>
                  <a:schemeClr val="tx2">
                    <a:lumMod val="40000"/>
                    <a:lumOff val="60000"/>
                  </a:schemeClr>
                </a:solidFill>
              </xdr:grpSpPr>
              <xdr:pic>
                <xdr:nvPicPr>
                  <xdr:cNvPr id="44" name="Graphic 43" descr="Clock with solid fill">
                    <a:extLst>
                      <a:ext uri="{FF2B5EF4-FFF2-40B4-BE49-F238E27FC236}">
                        <a16:creationId xmlns:a16="http://schemas.microsoft.com/office/drawing/2014/main" id="{5223547C-F106-0B67-1D6B-722F7253E00A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5">
                    <a:extLst>
                      <a:ext uri="{96DAC541-7B7A-43D3-8B79-37D633B846F1}">
                        <asvg:svgBlip xmlns:asvg="http://schemas.microsoft.com/office/drawing/2016/SVG/main" r:embed="rId6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11820072" y="4390573"/>
                    <a:ext cx="625927" cy="625927"/>
                  </a:xfrm>
                  <a:prstGeom prst="rect">
                    <a:avLst/>
                  </a:prstGeom>
                </xdr:spPr>
              </xdr:pic>
              <xdr:pic>
                <xdr:nvPicPr>
                  <xdr:cNvPr id="46" name="Graphic 45" descr="Downward trend graph with solid fill">
                    <a:extLst>
                      <a:ext uri="{FF2B5EF4-FFF2-40B4-BE49-F238E27FC236}">
                        <a16:creationId xmlns:a16="http://schemas.microsoft.com/office/drawing/2014/main" id="{B693C39A-37D8-1F74-5050-FFFF3FDC1700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7">
                    <a:extLst>
                      <a:ext uri="{96DAC541-7B7A-43D3-8B79-37D633B846F1}">
                        <asvg:svgBlip xmlns:asvg="http://schemas.microsoft.com/office/drawing/2016/SVG/main" r:embed="rId8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11462081" y="4585932"/>
                    <a:ext cx="914402" cy="914401"/>
                  </a:xfrm>
                  <a:prstGeom prst="rect">
                    <a:avLst/>
                  </a:prstGeom>
                </xdr:spPr>
              </xdr:pic>
            </xdr:grpSp>
          </xdr:grpSp>
        </xdr:grpSp>
      </xdr:grp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839423E8-A302-84A8-F2F3-742841ECD62D}"/>
              </a:ext>
            </a:extLst>
          </xdr:cNvPr>
          <xdr:cNvGrpSpPr/>
        </xdr:nvGrpSpPr>
        <xdr:grpSpPr>
          <a:xfrm>
            <a:off x="786038" y="5781365"/>
            <a:ext cx="8338865" cy="3431654"/>
            <a:chOff x="786038" y="5761313"/>
            <a:chExt cx="8338865" cy="3390254"/>
          </a:xfrm>
        </xdr:grpSpPr>
        <xdr:grpSp>
          <xdr:nvGrpSpPr>
            <xdr:cNvPr id="95" name="Group 94">
              <a:extLst>
                <a:ext uri="{FF2B5EF4-FFF2-40B4-BE49-F238E27FC236}">
                  <a16:creationId xmlns:a16="http://schemas.microsoft.com/office/drawing/2014/main" id="{D2539B7D-E033-F066-9488-26B80AD8F152}"/>
                </a:ext>
              </a:extLst>
            </xdr:cNvPr>
            <xdr:cNvGrpSpPr/>
          </xdr:nvGrpSpPr>
          <xdr:grpSpPr>
            <a:xfrm>
              <a:off x="786038" y="5761313"/>
              <a:ext cx="8338865" cy="3390254"/>
              <a:chOff x="786038" y="5761313"/>
              <a:chExt cx="8338865" cy="3390254"/>
            </a:xfrm>
          </xdr:grpSpPr>
          <xdr:grpSp>
            <xdr:nvGrpSpPr>
              <xdr:cNvPr id="45" name="Group 44">
                <a:extLst>
                  <a:ext uri="{FF2B5EF4-FFF2-40B4-BE49-F238E27FC236}">
                    <a16:creationId xmlns:a16="http://schemas.microsoft.com/office/drawing/2014/main" id="{B32EAAA5-28DA-936E-099C-F510FB4E9F62}"/>
                  </a:ext>
                </a:extLst>
              </xdr:cNvPr>
              <xdr:cNvGrpSpPr/>
            </xdr:nvGrpSpPr>
            <xdr:grpSpPr>
              <a:xfrm>
                <a:off x="786038" y="5761313"/>
                <a:ext cx="8338865" cy="3390254"/>
                <a:chOff x="779858" y="2857102"/>
                <a:chExt cx="8258516" cy="3531172"/>
              </a:xfrm>
            </xdr:grpSpPr>
            <xdr:sp macro="" textlink="">
              <xdr:nvSpPr>
                <xdr:cNvPr id="75" name="Rectangle: Rounded Corners 1">
                  <a:extLst>
                    <a:ext uri="{FF2B5EF4-FFF2-40B4-BE49-F238E27FC236}">
                      <a16:creationId xmlns:a16="http://schemas.microsoft.com/office/drawing/2014/main" id="{FBA4A244-B4B7-F42A-B141-B547BC650B1C}"/>
                    </a:ext>
                  </a:extLst>
                </xdr:cNvPr>
                <xdr:cNvSpPr/>
              </xdr:nvSpPr>
              <xdr:spPr>
                <a:xfrm>
                  <a:off x="779858" y="2857102"/>
                  <a:ext cx="8258516" cy="3531172"/>
                </a:xfrm>
                <a:prstGeom prst="roundRect">
                  <a:avLst>
                    <a:gd name="adj" fmla="val 6418"/>
                  </a:avLst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77" name="TextBox 42">
                  <a:extLst>
                    <a:ext uri="{FF2B5EF4-FFF2-40B4-BE49-F238E27FC236}">
                      <a16:creationId xmlns:a16="http://schemas.microsoft.com/office/drawing/2014/main" id="{804E11BE-BE69-43EF-E4AD-5B9E47858B5D}"/>
                    </a:ext>
                  </a:extLst>
                </xdr:cNvPr>
                <xdr:cNvSpPr txBox="1"/>
              </xdr:nvSpPr>
              <xdr:spPr>
                <a:xfrm>
                  <a:off x="862921" y="2934197"/>
                  <a:ext cx="5538566" cy="421209"/>
                </a:xfrm>
                <a:prstGeom prst="roundRect">
                  <a:avLst>
                    <a:gd name="adj" fmla="val 30856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2200" b="1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Yearly</a:t>
                  </a:r>
                  <a:r>
                    <a:rPr lang="en-IN" sz="2200" b="1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 Commuter Distribution</a:t>
                  </a:r>
                </a:p>
              </xdr:txBody>
            </xdr:sp>
          </xdr:grpSp>
          <xdr:graphicFrame macro="">
            <xdr:nvGraphicFramePr>
              <xdr:cNvPr id="79" name="Chart 78">
                <a:extLst>
                  <a:ext uri="{FF2B5EF4-FFF2-40B4-BE49-F238E27FC236}">
                    <a16:creationId xmlns:a16="http://schemas.microsoft.com/office/drawing/2014/main" id="{68745934-8C36-4529-82F3-99C27F099C5F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808642" y="6281655"/>
              <a:ext cx="5829460" cy="275058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grpSp>
            <xdr:nvGrpSpPr>
              <xdr:cNvPr id="94" name="Group 93">
                <a:extLst>
                  <a:ext uri="{FF2B5EF4-FFF2-40B4-BE49-F238E27FC236}">
                    <a16:creationId xmlns:a16="http://schemas.microsoft.com/office/drawing/2014/main" id="{1EB1B88D-23BD-698A-4770-E4D5C90733CC}"/>
                  </a:ext>
                </a:extLst>
              </xdr:cNvPr>
              <xdr:cNvGrpSpPr/>
            </xdr:nvGrpSpPr>
            <xdr:grpSpPr>
              <a:xfrm>
                <a:off x="6777664" y="5841628"/>
                <a:ext cx="2267326" cy="3221539"/>
                <a:chOff x="6777664" y="5841628"/>
                <a:chExt cx="2267326" cy="3221539"/>
              </a:xfrm>
            </xdr:grpSpPr>
            <xdr:grpSp>
              <xdr:nvGrpSpPr>
                <xdr:cNvPr id="62" name="Group 61">
                  <a:extLst>
                    <a:ext uri="{FF2B5EF4-FFF2-40B4-BE49-F238E27FC236}">
                      <a16:creationId xmlns:a16="http://schemas.microsoft.com/office/drawing/2014/main" id="{4DEE888C-698D-44DA-3007-DACA61286246}"/>
                    </a:ext>
                  </a:extLst>
                </xdr:cNvPr>
                <xdr:cNvGrpSpPr/>
              </xdr:nvGrpSpPr>
              <xdr:grpSpPr>
                <a:xfrm>
                  <a:off x="6777664" y="7484883"/>
                  <a:ext cx="2267325" cy="1578284"/>
                  <a:chOff x="4260887" y="197240"/>
                  <a:chExt cx="7350560" cy="947748"/>
                </a:xfrm>
                <a:solidFill>
                  <a:schemeClr val="bg1">
                    <a:lumMod val="95000"/>
                  </a:schemeClr>
                </a:solidFill>
              </xdr:grpSpPr>
              <xdr:sp macro="" textlink="">
                <xdr:nvSpPr>
                  <xdr:cNvPr id="67" name="Rectangle: Rounded Corners 1">
                    <a:extLst>
                      <a:ext uri="{FF2B5EF4-FFF2-40B4-BE49-F238E27FC236}">
                        <a16:creationId xmlns:a16="http://schemas.microsoft.com/office/drawing/2014/main" id="{44D51872-334E-BF1A-AECE-E9A57E7CF094}"/>
                      </a:ext>
                    </a:extLst>
                  </xdr:cNvPr>
                  <xdr:cNvSpPr/>
                </xdr:nvSpPr>
                <xdr:spPr>
                  <a:xfrm>
                    <a:off x="4260887" y="197240"/>
                    <a:ext cx="7350560" cy="947748"/>
                  </a:xfrm>
                  <a:prstGeom prst="roundRect">
                    <a:avLst/>
                  </a:prstGeom>
                  <a:grpFill/>
                  <a:ln>
                    <a:noFill/>
                  </a:ln>
                </xdr:spPr>
                <xdr:style>
                  <a:lnRef idx="2">
                    <a:schemeClr val="accent6"/>
                  </a:lnRef>
                  <a:fillRef idx="1">
                    <a:schemeClr val="lt1"/>
                  </a:fillRef>
                  <a:effectRef idx="0">
                    <a:schemeClr val="accent6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IN" sz="1900" b="1"/>
                  </a:p>
                </xdr:txBody>
              </xdr:sp>
              <xdr:sp macro="" textlink="'Analysis Sheet'!G38">
                <xdr:nvSpPr>
                  <xdr:cNvPr id="68" name="TextBox 67">
                    <a:extLst>
                      <a:ext uri="{FF2B5EF4-FFF2-40B4-BE49-F238E27FC236}">
                        <a16:creationId xmlns:a16="http://schemas.microsoft.com/office/drawing/2014/main" id="{655A9DA8-8F52-44A3-E5E2-7DAE08293153}"/>
                      </a:ext>
                    </a:extLst>
                  </xdr:cNvPr>
                  <xdr:cNvSpPr txBox="1"/>
                </xdr:nvSpPr>
                <xdr:spPr>
                  <a:xfrm>
                    <a:off x="4350059" y="655924"/>
                    <a:ext cx="7225819" cy="389949"/>
                  </a:xfrm>
                  <a:prstGeom prst="roundRect">
                    <a:avLst>
                      <a:gd name="adj" fmla="val 34582"/>
                    </a:avLst>
                  </a:prstGeom>
                  <a:grp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fld id="{59C393C9-F6E4-45EB-84D0-8C8AC2E64BE4}" type="TxLink">
                      <a:rPr lang="en-US" sz="1400" b="1" i="0" u="none" strike="noStrike">
                        <a:solidFill>
                          <a:srgbClr val="000000"/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pPr algn="ctr"/>
                      <a:t>Improvement required</a:t>
                    </a:fld>
                    <a:endParaRPr lang="en-IN" sz="16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grpSp>
              <xdr:nvGrpSpPr>
                <xdr:cNvPr id="88" name="Group 87">
                  <a:extLst>
                    <a:ext uri="{FF2B5EF4-FFF2-40B4-BE49-F238E27FC236}">
                      <a16:creationId xmlns:a16="http://schemas.microsoft.com/office/drawing/2014/main" id="{B15F335F-686D-EE8B-16A2-EE80746C017A}"/>
                    </a:ext>
                  </a:extLst>
                </xdr:cNvPr>
                <xdr:cNvGrpSpPr/>
              </xdr:nvGrpSpPr>
              <xdr:grpSpPr>
                <a:xfrm>
                  <a:off x="6777665" y="5841628"/>
                  <a:ext cx="2267325" cy="1578283"/>
                  <a:chOff x="6739485" y="5928004"/>
                  <a:chExt cx="2256912" cy="1602577"/>
                </a:xfrm>
              </xdr:grpSpPr>
              <xdr:grpSp>
                <xdr:nvGrpSpPr>
                  <xdr:cNvPr id="71" name="Group 70">
                    <a:extLst>
                      <a:ext uri="{FF2B5EF4-FFF2-40B4-BE49-F238E27FC236}">
                        <a16:creationId xmlns:a16="http://schemas.microsoft.com/office/drawing/2014/main" id="{190117ED-6855-36D8-75F1-82C1F97986C2}"/>
                      </a:ext>
                    </a:extLst>
                  </xdr:cNvPr>
                  <xdr:cNvGrpSpPr/>
                </xdr:nvGrpSpPr>
                <xdr:grpSpPr>
                  <a:xfrm>
                    <a:off x="6739485" y="5928004"/>
                    <a:ext cx="2256912" cy="1602577"/>
                    <a:chOff x="4260887" y="197240"/>
                    <a:chExt cx="7350560" cy="947748"/>
                  </a:xfrm>
                  <a:solidFill>
                    <a:schemeClr val="tx2">
                      <a:lumMod val="40000"/>
                      <a:lumOff val="60000"/>
                    </a:schemeClr>
                  </a:solidFill>
                </xdr:grpSpPr>
                <xdr:sp macro="" textlink="">
                  <xdr:nvSpPr>
                    <xdr:cNvPr id="73" name="Rectangle: Rounded Corners 1">
                      <a:extLst>
                        <a:ext uri="{FF2B5EF4-FFF2-40B4-BE49-F238E27FC236}">
                          <a16:creationId xmlns:a16="http://schemas.microsoft.com/office/drawing/2014/main" id="{1414947E-CCED-6D0F-67A9-5A30B685C84B}"/>
                        </a:ext>
                      </a:extLst>
                    </xdr:cNvPr>
                    <xdr:cNvSpPr/>
                  </xdr:nvSpPr>
                  <xdr:spPr>
                    <a:xfrm>
                      <a:off x="4260887" y="197240"/>
                      <a:ext cx="7350560" cy="947748"/>
                    </a:xfrm>
                    <a:prstGeom prst="roundRect">
                      <a:avLst/>
                    </a:prstGeom>
                    <a:grpFill/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sp macro="" textlink="">
                  <xdr:nvSpPr>
                    <xdr:cNvPr id="74" name="TextBox 73">
                      <a:extLst>
                        <a:ext uri="{FF2B5EF4-FFF2-40B4-BE49-F238E27FC236}">
                          <a16:creationId xmlns:a16="http://schemas.microsoft.com/office/drawing/2014/main" id="{7BCEE2B0-2879-19A5-7E7B-17F701DB78F8}"/>
                        </a:ext>
                      </a:extLst>
                    </xdr:cNvPr>
                    <xdr:cNvSpPr txBox="1"/>
                  </xdr:nvSpPr>
                  <xdr:spPr>
                    <a:xfrm>
                      <a:off x="4320068" y="564447"/>
                      <a:ext cx="7225818" cy="165650"/>
                    </a:xfrm>
                    <a:prstGeom prst="roundRect">
                      <a:avLst/>
                    </a:prstGeom>
                    <a:grp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none" rtlCol="0" anchor="ctr" anchorCtr="0"/>
                    <a:lstStyle/>
                    <a:p>
                      <a:pPr algn="ctr"/>
                      <a:r>
                        <a:rPr lang="en-IN" sz="1200" b="1">
                          <a:solidFill>
                            <a:schemeClr val="bg1"/>
                          </a:solidFill>
                          <a:latin typeface="Consolas" panose="020B0609020204030204" pitchFamily="49" charset="0"/>
                          <a:ea typeface="Verdana" panose="020B0604030504040204" pitchFamily="34" charset="0"/>
                          <a:cs typeface="Cascadia Code" panose="020B0609020000020004" pitchFamily="49" charset="0"/>
                        </a:rPr>
                        <a:t>YoY </a:t>
                      </a:r>
                      <a:r>
                        <a:rPr lang="en-IN" sz="1200" b="1" baseline="0">
                          <a:solidFill>
                            <a:schemeClr val="bg1"/>
                          </a:solidFill>
                          <a:latin typeface="Consolas" panose="020B0609020204030204" pitchFamily="49" charset="0"/>
                          <a:ea typeface="Verdana" panose="020B0604030504040204" pitchFamily="34" charset="0"/>
                          <a:cs typeface="Cascadia Code" panose="020B0609020000020004" pitchFamily="49" charset="0"/>
                        </a:rPr>
                        <a:t>Change Percentage</a:t>
                      </a:r>
                      <a:endParaRPr lang="en-IN" sz="1200" b="1">
                        <a:solidFill>
                          <a:schemeClr val="bg1"/>
                        </a:solidFill>
                        <a:latin typeface="Consolas" panose="020B0609020204030204" pitchFamily="49" charset="0"/>
                        <a:ea typeface="Verdana" panose="020B0604030504040204" pitchFamily="34" charset="0"/>
                        <a:cs typeface="Cascadia Code" panose="020B0609020000020004" pitchFamily="49" charset="0"/>
                      </a:endParaRPr>
                    </a:p>
                  </xdr:txBody>
                </xdr:sp>
              </xdr:grpSp>
              <xdr:grpSp>
                <xdr:nvGrpSpPr>
                  <xdr:cNvPr id="84" name="Group 83">
                    <a:extLst>
                      <a:ext uri="{FF2B5EF4-FFF2-40B4-BE49-F238E27FC236}">
                        <a16:creationId xmlns:a16="http://schemas.microsoft.com/office/drawing/2014/main" id="{E471575B-694A-D5BD-D421-5B693B239479}"/>
                      </a:ext>
                    </a:extLst>
                  </xdr:cNvPr>
                  <xdr:cNvGrpSpPr>
                    <a:grpSpLocks noChangeAspect="1"/>
                  </xdr:cNvGrpSpPr>
                </xdr:nvGrpSpPr>
                <xdr:grpSpPr>
                  <a:xfrm>
                    <a:off x="7609517" y="6016657"/>
                    <a:ext cx="516848" cy="573520"/>
                    <a:chOff x="12045386" y="7477580"/>
                    <a:chExt cx="940700" cy="1031398"/>
                  </a:xfrm>
                </xdr:grpSpPr>
                <xdr:pic>
                  <xdr:nvPicPr>
                    <xdr:cNvPr id="81" name="Graphic 80" descr="Daily calendar with solid fill">
                      <a:extLst>
                        <a:ext uri="{FF2B5EF4-FFF2-40B4-BE49-F238E27FC236}">
                          <a16:creationId xmlns:a16="http://schemas.microsoft.com/office/drawing/2014/main" id="{DA3E4C15-CB4D-9664-4180-85600F6B45E5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0">
                      <a:extLst>
                        <a:ext uri="{96DAC541-7B7A-43D3-8B79-37D633B846F1}">
                          <asvg:svgBlip xmlns:asvg="http://schemas.microsoft.com/office/drawing/2016/SVG/main" r:embed="rId11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12508896" y="7477580"/>
                      <a:ext cx="477190" cy="483506"/>
                    </a:xfrm>
                    <a:prstGeom prst="rect">
                      <a:avLst/>
                    </a:prstGeom>
                  </xdr:spPr>
                </xdr:pic>
                <xdr:pic>
                  <xdr:nvPicPr>
                    <xdr:cNvPr id="83" name="Graphic 82" descr="Bar chart with solid fill">
                      <a:extLst>
                        <a:ext uri="{FF2B5EF4-FFF2-40B4-BE49-F238E27FC236}">
                          <a16:creationId xmlns:a16="http://schemas.microsoft.com/office/drawing/2014/main" id="{52B7142E-27C0-E098-2FF7-B832946B88FA}"/>
                        </a:ext>
                      </a:extLst>
                    </xdr:cNvPr>
                    <xdr:cNvPicPr>
                      <a:picLocks noChangeAspect="1"/>
                    </xdr:cNvPicPr>
                  </xdr:nvPicPr>
                  <xdr:blipFill>
                    <a:blip xmlns:r="http://schemas.openxmlformats.org/officeDocument/2006/relationships" r:embed="rId12">
                      <a:extLst>
                        <a:ext uri="{96DAC541-7B7A-43D3-8B79-37D633B846F1}">
                          <asvg:svgBlip xmlns:asvg="http://schemas.microsoft.com/office/drawing/2016/SVG/main" r:embed="rId13"/>
                        </a:ext>
                      </a:extLst>
                    </a:blip>
                    <a:stretch>
                      <a:fillRect/>
                    </a:stretch>
                  </xdr:blipFill>
                  <xdr:spPr>
                    <a:xfrm>
                      <a:off x="12045386" y="7621833"/>
                      <a:ext cx="872631" cy="887145"/>
                    </a:xfrm>
                    <a:prstGeom prst="rect">
                      <a:avLst/>
                    </a:prstGeom>
                  </xdr:spPr>
                </xdr:pic>
              </xdr:grpSp>
              <xdr:grpSp>
                <xdr:nvGrpSpPr>
                  <xdr:cNvPr id="87" name="Group 86">
                    <a:extLst>
                      <a:ext uri="{FF2B5EF4-FFF2-40B4-BE49-F238E27FC236}">
                        <a16:creationId xmlns:a16="http://schemas.microsoft.com/office/drawing/2014/main" id="{896A1F8F-067B-DA45-1ED7-C632FEC4212E}"/>
                      </a:ext>
                    </a:extLst>
                  </xdr:cNvPr>
                  <xdr:cNvGrpSpPr/>
                </xdr:nvGrpSpPr>
                <xdr:grpSpPr>
                  <a:xfrm>
                    <a:off x="7005786" y="6753256"/>
                    <a:ext cx="1831458" cy="506402"/>
                    <a:chOff x="6902688" y="6620271"/>
                    <a:chExt cx="1907419" cy="491393"/>
                  </a:xfrm>
                </xdr:grpSpPr>
                <xdr:sp macro="" textlink="'Analysis Sheet'!$E$38">
                  <xdr:nvSpPr>
                    <xdr:cNvPr id="72" name="TextBox 71">
                      <a:extLst>
                        <a:ext uri="{FF2B5EF4-FFF2-40B4-BE49-F238E27FC236}">
                          <a16:creationId xmlns:a16="http://schemas.microsoft.com/office/drawing/2014/main" id="{41F66D4A-58B2-4D47-9A52-F53C105B0012}"/>
                        </a:ext>
                      </a:extLst>
                    </xdr:cNvPr>
                    <xdr:cNvSpPr txBox="1"/>
                  </xdr:nvSpPr>
                  <xdr:spPr>
                    <a:xfrm>
                      <a:off x="6902688" y="6620271"/>
                      <a:ext cx="1497785" cy="491393"/>
                    </a:xfrm>
                    <a:prstGeom prst="roundRect">
                      <a:avLst>
                        <a:gd name="adj" fmla="val 22301"/>
                      </a:avLst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overflow" horzOverflow="overflow" wrap="none" rtlCol="0" anchor="ctr" anchorCtr="0">
                      <a:spAutoFit/>
                    </a:bodyPr>
                    <a:lstStyle/>
                    <a:p>
                      <a:pPr algn="ctr"/>
                      <a:fld id="{30E0C395-4ACF-4F63-81A5-00024E481410}" type="TxLink">
                        <a:rPr lang="en-US" sz="2400" b="1" i="0" u="none" strike="noStrike">
                          <a:solidFill>
                            <a:srgbClr val="000000"/>
                          </a:solidFill>
                          <a:latin typeface="Consolas" panose="020B0609020204030204" pitchFamily="49" charset="0"/>
                          <a:ea typeface="Calibri"/>
                          <a:cs typeface="Calibri"/>
                        </a:rPr>
                        <a:pPr algn="ctr"/>
                        <a:t>-83.50%</a:t>
                      </a:fld>
                      <a:endParaRPr lang="en-IN" sz="2400" b="1" i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Consolas" panose="020B0609020204030204" pitchFamily="49" charset="0"/>
                        <a:ea typeface="Verdana" panose="020B0604030504040204" pitchFamily="34" charset="0"/>
                        <a:cs typeface="Cascadia Code" panose="020B0609020000020004" pitchFamily="49" charset="0"/>
                      </a:endParaRPr>
                    </a:p>
                  </xdr:txBody>
                </xdr:sp>
                <xdr:sp macro="" textlink="'Analysis Sheet'!$F$38">
                  <xdr:nvSpPr>
                    <xdr:cNvPr id="85" name="TextBox 84">
                      <a:extLst>
                        <a:ext uri="{FF2B5EF4-FFF2-40B4-BE49-F238E27FC236}">
                          <a16:creationId xmlns:a16="http://schemas.microsoft.com/office/drawing/2014/main" id="{06793A53-1C1B-4DA3-A9F9-FBC781CDE584}"/>
                        </a:ext>
                      </a:extLst>
                    </xdr:cNvPr>
                    <xdr:cNvSpPr txBox="1"/>
                  </xdr:nvSpPr>
                  <xdr:spPr>
                    <a:xfrm>
                      <a:off x="8294988" y="6643167"/>
                      <a:ext cx="515119" cy="431195"/>
                    </a:xfrm>
                    <a:prstGeom prst="roundRect">
                      <a:avLst>
                        <a:gd name="adj" fmla="val 22301"/>
                      </a:avLst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overflow" horzOverflow="overflow" wrap="none" rtlCol="0" anchor="ctr" anchorCtr="0">
                      <a:spAutoFit/>
                    </a:bodyPr>
                    <a:lstStyle/>
                    <a:p>
                      <a:pPr algn="ctr"/>
                      <a:fld id="{F0B7CDB4-21DA-40BB-B965-3B31FD9102C2}" type="TxLink">
                        <a:rPr lang="en-US" sz="2000" b="0" i="0" u="none" strike="noStrike">
                          <a:solidFill>
                            <a:srgbClr val="000000"/>
                          </a:solidFill>
                          <a:latin typeface="Consolas" panose="020B0609020204030204" pitchFamily="49" charset="0"/>
                          <a:ea typeface="Calibri"/>
                          <a:cs typeface="Calibri"/>
                        </a:rPr>
                        <a:pPr algn="ctr"/>
                        <a:t>▼</a:t>
                      </a:fld>
                      <a:endParaRPr lang="en-IN" sz="2000" b="1" i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Consolas" panose="020B0609020204030204" pitchFamily="49" charset="0"/>
                        <a:ea typeface="Verdana" panose="020B0604030504040204" pitchFamily="34" charset="0"/>
                        <a:cs typeface="Cascadia Code" panose="020B0609020000020004" pitchFamily="49" charset="0"/>
                      </a:endParaRPr>
                    </a:p>
                  </xdr:txBody>
                </xdr:sp>
              </xdr:grpSp>
            </xdr:grpSp>
          </xdr:grpSp>
        </xdr:grpSp>
        <xdr:pic>
          <xdr:nvPicPr>
            <xdr:cNvPr id="90" name="Graphic 89" descr="Head with gears with solid fill">
              <a:extLst>
                <a:ext uri="{FF2B5EF4-FFF2-40B4-BE49-F238E27FC236}">
                  <a16:creationId xmlns:a16="http://schemas.microsoft.com/office/drawing/2014/main" id="{AF83DB52-D532-9110-D18B-041FA3AC7D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>
              <a:extLst>
                <a:ext uri="{96DAC541-7B7A-43D3-8B79-37D633B846F1}">
                  <asvg:svgBlip xmlns:asvg="http://schemas.microsoft.com/office/drawing/2016/SVG/main" r:embed="rId15"/>
                </a:ext>
              </a:extLst>
            </a:blip>
            <a:stretch>
              <a:fillRect/>
            </a:stretch>
          </xdr:blipFill>
          <xdr:spPr>
            <a:xfrm>
              <a:off x="7584408" y="7662525"/>
              <a:ext cx="653837" cy="639915"/>
            </a:xfrm>
            <a:prstGeom prst="rect">
              <a:avLst/>
            </a:prstGeom>
          </xdr:spPr>
        </xdr:pic>
      </xdr:grp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A6E5592B-A1FF-3C39-DF99-3109B3CF43A8}"/>
              </a:ext>
            </a:extLst>
          </xdr:cNvPr>
          <xdr:cNvGrpSpPr/>
        </xdr:nvGrpSpPr>
        <xdr:grpSpPr>
          <a:xfrm>
            <a:off x="9249036" y="5780953"/>
            <a:ext cx="7238238" cy="3453776"/>
            <a:chOff x="9218957" y="5909290"/>
            <a:chExt cx="7248264" cy="3530167"/>
          </a:xfrm>
        </xdr:grpSpPr>
        <xdr:grpSp>
          <xdr:nvGrpSpPr>
            <xdr:cNvPr id="91" name="Group 90">
              <a:extLst>
                <a:ext uri="{FF2B5EF4-FFF2-40B4-BE49-F238E27FC236}">
                  <a16:creationId xmlns:a16="http://schemas.microsoft.com/office/drawing/2014/main" id="{929AC905-6CBE-47AA-AE47-6C40261FA725}"/>
                </a:ext>
              </a:extLst>
            </xdr:cNvPr>
            <xdr:cNvGrpSpPr/>
          </xdr:nvGrpSpPr>
          <xdr:grpSpPr>
            <a:xfrm>
              <a:off x="9218957" y="5909290"/>
              <a:ext cx="7248264" cy="3516000"/>
              <a:chOff x="9254383" y="5735053"/>
              <a:chExt cx="5965564" cy="3434307"/>
            </a:xfrm>
          </xdr:grpSpPr>
          <xdr:sp macro="" textlink="">
            <xdr:nvSpPr>
              <xdr:cNvPr id="92" name="Rectangle: Rounded Corners 1">
                <a:extLst>
                  <a:ext uri="{FF2B5EF4-FFF2-40B4-BE49-F238E27FC236}">
                    <a16:creationId xmlns:a16="http://schemas.microsoft.com/office/drawing/2014/main" id="{84F43276-E9C2-9B35-CEC2-F01CDDC83296}"/>
                  </a:ext>
                </a:extLst>
              </xdr:cNvPr>
              <xdr:cNvSpPr/>
            </xdr:nvSpPr>
            <xdr:spPr>
              <a:xfrm>
                <a:off x="9254383" y="5735053"/>
                <a:ext cx="5965564" cy="3434307"/>
              </a:xfrm>
              <a:prstGeom prst="roundRect">
                <a:avLst>
                  <a:gd name="adj" fmla="val 6418"/>
                </a:avLst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900" b="1"/>
              </a:p>
            </xdr:txBody>
          </xdr:sp>
          <xdr:sp macro="" textlink="">
            <xdr:nvSpPr>
              <xdr:cNvPr id="99" name="TextBox 42">
                <a:extLst>
                  <a:ext uri="{FF2B5EF4-FFF2-40B4-BE49-F238E27FC236}">
                    <a16:creationId xmlns:a16="http://schemas.microsoft.com/office/drawing/2014/main" id="{6DCA74B9-2C20-EA30-B2ED-3872C04204AF}"/>
                  </a:ext>
                </a:extLst>
              </xdr:cNvPr>
              <xdr:cNvSpPr txBox="1"/>
            </xdr:nvSpPr>
            <xdr:spPr>
              <a:xfrm>
                <a:off x="9263066" y="5809099"/>
                <a:ext cx="5936829" cy="400628"/>
              </a:xfrm>
              <a:prstGeom prst="roundRect">
                <a:avLst>
                  <a:gd name="adj" fmla="val 30856"/>
                </a:avLst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algn="ctr"/>
                <a:r>
                  <a:rPr lang="en-IN" sz="22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rPr>
                  <a:t>Different Types of Commuters</a:t>
                </a:r>
              </a:p>
            </xdr:txBody>
          </xdr:sp>
        </xdr:grpSp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1E34EC1-74B4-489D-9730-846B795C6C5F}"/>
                </a:ext>
              </a:extLst>
            </xdr:cNvPr>
            <xdr:cNvGraphicFramePr>
              <a:graphicFrameLocks/>
            </xdr:cNvGraphicFramePr>
          </xdr:nvGraphicFramePr>
          <xdr:xfrm>
            <a:off x="9247481" y="6340854"/>
            <a:ext cx="7203134" cy="309860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6"/>
            </a:graphicData>
          </a:graphic>
        </xdr:graphicFrame>
      </xdr:grpSp>
      <xdr:grpSp>
        <xdr:nvGrpSpPr>
          <xdr:cNvPr id="113" name="Group 112">
            <a:extLst>
              <a:ext uri="{FF2B5EF4-FFF2-40B4-BE49-F238E27FC236}">
                <a16:creationId xmlns:a16="http://schemas.microsoft.com/office/drawing/2014/main" id="{5C5EB4B1-B473-79F9-A2EF-FE95E6BFA082}"/>
              </a:ext>
            </a:extLst>
          </xdr:cNvPr>
          <xdr:cNvGrpSpPr/>
        </xdr:nvGrpSpPr>
        <xdr:grpSpPr>
          <a:xfrm>
            <a:off x="9240404" y="2262008"/>
            <a:ext cx="7247946" cy="3438982"/>
            <a:chOff x="9210325" y="2310135"/>
            <a:chExt cx="7225888" cy="3515182"/>
          </a:xfrm>
        </xdr:grpSpPr>
        <xdr:sp macro="" textlink="">
          <xdr:nvSpPr>
            <xdr:cNvPr id="16" name="Rectangle: Rounded Corners 1">
              <a:extLst>
                <a:ext uri="{FF2B5EF4-FFF2-40B4-BE49-F238E27FC236}">
                  <a16:creationId xmlns:a16="http://schemas.microsoft.com/office/drawing/2014/main" id="{7AD34965-B86E-2F42-114A-B56A3ADC6B0D}"/>
                </a:ext>
              </a:extLst>
            </xdr:cNvPr>
            <xdr:cNvSpPr/>
          </xdr:nvSpPr>
          <xdr:spPr>
            <a:xfrm>
              <a:off x="9210325" y="2310135"/>
              <a:ext cx="7225888" cy="3515182"/>
            </a:xfrm>
            <a:prstGeom prst="roundRect">
              <a:avLst>
                <a:gd name="adj" fmla="val 6418"/>
              </a:avLst>
            </a:prstGeom>
            <a:solidFill>
              <a:schemeClr val="tx2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900" b="1"/>
            </a:p>
          </xdr:txBody>
        </xdr:sp>
        <xdr:graphicFrame macro="">
          <xdr:nvGraphicFramePr>
            <xdr:cNvPr id="78" name="Chart 77">
              <a:extLst>
                <a:ext uri="{FF2B5EF4-FFF2-40B4-BE49-F238E27FC236}">
                  <a16:creationId xmlns:a16="http://schemas.microsoft.com/office/drawing/2014/main" id="{CD13A18F-D79E-5E3E-F235-06435E514DDC}"/>
                </a:ext>
              </a:extLst>
            </xdr:cNvPr>
            <xdr:cNvGraphicFramePr>
              <a:graphicFrameLocks/>
            </xdr:cNvGraphicFramePr>
          </xdr:nvGraphicFramePr>
          <xdr:xfrm>
            <a:off x="9375057" y="3100341"/>
            <a:ext cx="6878987" cy="262793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7"/>
            </a:graphicData>
          </a:graphic>
        </xdr:graphicFrame>
        <xdr:sp macro="" textlink="'Analysis Sheet'!$L$49">
          <xdr:nvSpPr>
            <xdr:cNvPr id="86" name="TextBox 42">
              <a:extLst>
                <a:ext uri="{FF2B5EF4-FFF2-40B4-BE49-F238E27FC236}">
                  <a16:creationId xmlns:a16="http://schemas.microsoft.com/office/drawing/2014/main" id="{AEE308B5-82D0-A71F-612E-72D9C0A4E752}"/>
                </a:ext>
              </a:extLst>
            </xdr:cNvPr>
            <xdr:cNvSpPr txBox="1"/>
          </xdr:nvSpPr>
          <xdr:spPr>
            <a:xfrm>
              <a:off x="9247307" y="2658893"/>
              <a:ext cx="7176761" cy="636436"/>
            </a:xfrm>
            <a:prstGeom prst="roundRect">
              <a:avLst>
                <a:gd name="adj" fmla="val 30856"/>
              </a:avLst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rIns="0" rtlCol="0" anchor="ctr" anchorCtr="0">
              <a:noAutofit/>
            </a:bodyPr>
            <a:lstStyle/>
            <a:p>
              <a:pPr algn="ctr"/>
              <a:fld id="{5EA9DEE4-767D-4E90-9E01-BB932E69A9EC}" type="TxLink">
                <a:rPr lang="en-US" sz="1100" b="1" i="0" u="none" strike="noStrike">
                  <a:solidFill>
                    <a:srgbClr val="000000"/>
                  </a:solidFill>
                  <a:latin typeface="Consolas" panose="020B0609020204030204" pitchFamily="49" charset="0"/>
                  <a:ea typeface="Calibri"/>
                  <a:cs typeface="Calibri"/>
                </a:rPr>
                <a:pPr algn="ctr"/>
                <a:t>The below highlighted days reported above average commuters and constituted 49.39% of overall footfall</a:t>
              </a:fld>
              <a:endParaRPr lang="en-IN" sz="1100" b="1">
                <a:solidFill>
                  <a:schemeClr val="tx1">
                    <a:lumMod val="95000"/>
                    <a:lumOff val="5000"/>
                  </a:schemeClr>
                </a:solidFill>
                <a:latin typeface="Consolas" panose="020B0609020204030204" pitchFamily="49" charset="0"/>
                <a:ea typeface="Verdana" panose="020B0604030504040204" pitchFamily="34" charset="0"/>
                <a:cs typeface="Cascadia Code" panose="020B0609020000020004" pitchFamily="49" charset="0"/>
              </a:endParaRPr>
            </a:p>
          </xdr:txBody>
        </xdr:sp>
        <xdr:sp macro="" textlink="">
          <xdr:nvSpPr>
            <xdr:cNvPr id="89" name="TextBox 42">
              <a:extLst>
                <a:ext uri="{FF2B5EF4-FFF2-40B4-BE49-F238E27FC236}">
                  <a16:creationId xmlns:a16="http://schemas.microsoft.com/office/drawing/2014/main" id="{F9AB9D2F-5BA5-439D-11AB-C38F6024BEC9}"/>
                </a:ext>
              </a:extLst>
            </xdr:cNvPr>
            <xdr:cNvSpPr txBox="1"/>
          </xdr:nvSpPr>
          <xdr:spPr>
            <a:xfrm>
              <a:off x="9220842" y="2385925"/>
              <a:ext cx="7191082" cy="410062"/>
            </a:xfrm>
            <a:prstGeom prst="roundRect">
              <a:avLst>
                <a:gd name="adj" fmla="val 30856"/>
              </a:avLst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ctr" anchorCtr="0"/>
            <a:lstStyle/>
            <a:p>
              <a:pPr algn="ctr"/>
              <a:r>
                <a:rPr lang="en-IN" sz="2200" b="1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rPr>
                <a:t>Commuter Distribution by Day</a:t>
              </a:r>
            </a:p>
          </xdr:txBody>
        </xdr:sp>
      </xdr:grp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F8A1F141-574A-5599-F3FF-5BF8738D9D91}"/>
              </a:ext>
            </a:extLst>
          </xdr:cNvPr>
          <xdr:cNvGrpSpPr/>
        </xdr:nvGrpSpPr>
        <xdr:grpSpPr>
          <a:xfrm>
            <a:off x="16601574" y="2992793"/>
            <a:ext cx="2902471" cy="6234225"/>
            <a:chOff x="16434698" y="3286113"/>
            <a:chExt cx="2877748" cy="6319158"/>
          </a:xfrm>
        </xdr:grpSpPr>
        <xdr:sp macro="" textlink="">
          <xdr:nvSpPr>
            <xdr:cNvPr id="109" name="Rectangle: Rounded Corners 1">
              <a:extLst>
                <a:ext uri="{FF2B5EF4-FFF2-40B4-BE49-F238E27FC236}">
                  <a16:creationId xmlns:a16="http://schemas.microsoft.com/office/drawing/2014/main" id="{44F4B12B-1426-0885-BABC-AAA8EF20D195}"/>
                </a:ext>
              </a:extLst>
            </xdr:cNvPr>
            <xdr:cNvSpPr/>
          </xdr:nvSpPr>
          <xdr:spPr>
            <a:xfrm>
              <a:off x="16434698" y="3286113"/>
              <a:ext cx="2877748" cy="6319158"/>
            </a:xfrm>
            <a:prstGeom prst="roundRect">
              <a:avLst>
                <a:gd name="adj" fmla="val 6418"/>
              </a:avLst>
            </a:prstGeom>
            <a:solidFill>
              <a:schemeClr val="tx2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900" b="1"/>
            </a:p>
          </xdr:txBody>
        </xdr:sp>
        <xdr:sp macro="" textlink="">
          <xdr:nvSpPr>
            <xdr:cNvPr id="177" name="TextBox 42">
              <a:extLst>
                <a:ext uri="{FF2B5EF4-FFF2-40B4-BE49-F238E27FC236}">
                  <a16:creationId xmlns:a16="http://schemas.microsoft.com/office/drawing/2014/main" id="{628ACC15-F295-42DA-A36C-75E88EB410D4}"/>
                </a:ext>
              </a:extLst>
            </xdr:cNvPr>
            <xdr:cNvSpPr txBox="1"/>
          </xdr:nvSpPr>
          <xdr:spPr>
            <a:xfrm>
              <a:off x="16546873" y="3288081"/>
              <a:ext cx="2653402" cy="876823"/>
            </a:xfrm>
            <a:prstGeom prst="roundRect">
              <a:avLst>
                <a:gd name="adj" fmla="val 30856"/>
              </a:avLst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ctr" anchorCtr="0"/>
            <a:lstStyle/>
            <a:p>
              <a:pPr algn="ctr"/>
              <a:r>
                <a:rPr lang="en-IN" sz="2000" b="1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rPr>
                <a:t>Bus Utilization</a:t>
              </a:r>
            </a:p>
            <a:p>
              <a:pPr algn="ctr"/>
              <a:r>
                <a:rPr lang="en-IN" sz="2000" b="1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rPr>
                <a:t>Status</a:t>
              </a:r>
            </a:p>
          </xdr:txBody>
        </xdr:sp>
        <xdr:grpSp>
          <xdr:nvGrpSpPr>
            <xdr:cNvPr id="105" name="Group 104">
              <a:extLst>
                <a:ext uri="{FF2B5EF4-FFF2-40B4-BE49-F238E27FC236}">
                  <a16:creationId xmlns:a16="http://schemas.microsoft.com/office/drawing/2014/main" id="{4D6C85C2-A4B3-B158-F876-447D1D4760DF}"/>
                </a:ext>
              </a:extLst>
            </xdr:cNvPr>
            <xdr:cNvGrpSpPr/>
          </xdr:nvGrpSpPr>
          <xdr:grpSpPr>
            <a:xfrm>
              <a:off x="17001876" y="4117480"/>
              <a:ext cx="1743392" cy="5405234"/>
              <a:chOff x="17001876" y="4117480"/>
              <a:chExt cx="1743392" cy="5405234"/>
            </a:xfrm>
          </xdr:grpSpPr>
          <xdr:grpSp>
            <xdr:nvGrpSpPr>
              <xdr:cNvPr id="103" name="Group 102">
                <a:extLst>
                  <a:ext uri="{FF2B5EF4-FFF2-40B4-BE49-F238E27FC236}">
                    <a16:creationId xmlns:a16="http://schemas.microsoft.com/office/drawing/2014/main" id="{51990BD7-0694-0100-DCEF-2397062EDEA6}"/>
                  </a:ext>
                </a:extLst>
              </xdr:cNvPr>
              <xdr:cNvGrpSpPr/>
            </xdr:nvGrpSpPr>
            <xdr:grpSpPr>
              <a:xfrm>
                <a:off x="17001876" y="4117480"/>
                <a:ext cx="1743387" cy="1757603"/>
                <a:chOff x="17198547" y="3934729"/>
                <a:chExt cx="1757434" cy="1728395"/>
              </a:xfrm>
            </xdr:grpSpPr>
            <xdr:grpSp>
              <xdr:nvGrpSpPr>
                <xdr:cNvPr id="151" name="Group 150">
                  <a:extLst>
                    <a:ext uri="{FF2B5EF4-FFF2-40B4-BE49-F238E27FC236}">
                      <a16:creationId xmlns:a16="http://schemas.microsoft.com/office/drawing/2014/main" id="{0E36390C-C40A-447B-B826-FA1677AE5F04}"/>
                    </a:ext>
                  </a:extLst>
                </xdr:cNvPr>
                <xdr:cNvGrpSpPr/>
              </xdr:nvGrpSpPr>
              <xdr:grpSpPr>
                <a:xfrm>
                  <a:off x="17198547" y="3934729"/>
                  <a:ext cx="1757434" cy="1713866"/>
                  <a:chOff x="17457030" y="7349720"/>
                  <a:chExt cx="1755064" cy="1914119"/>
                </a:xfrm>
              </xdr:grpSpPr>
              <xdr:grpSp>
                <xdr:nvGrpSpPr>
                  <xdr:cNvPr id="152" name="Group 151">
                    <a:extLst>
                      <a:ext uri="{FF2B5EF4-FFF2-40B4-BE49-F238E27FC236}">
                        <a16:creationId xmlns:a16="http://schemas.microsoft.com/office/drawing/2014/main" id="{250EC541-F05C-E620-9E66-AEEC52F60339}"/>
                      </a:ext>
                    </a:extLst>
                  </xdr:cNvPr>
                  <xdr:cNvGrpSpPr/>
                </xdr:nvGrpSpPr>
                <xdr:grpSpPr>
                  <a:xfrm>
                    <a:off x="17457030" y="7349720"/>
                    <a:ext cx="1755064" cy="1914119"/>
                    <a:chOff x="17575017" y="5154892"/>
                    <a:chExt cx="1755064" cy="1932257"/>
                  </a:xfrm>
                </xdr:grpSpPr>
                <xdr:sp macro="" textlink="">
                  <xdr:nvSpPr>
                    <xdr:cNvPr id="154" name="Rectangle: Rounded Corners 1">
                      <a:extLst>
                        <a:ext uri="{FF2B5EF4-FFF2-40B4-BE49-F238E27FC236}">
                          <a16:creationId xmlns:a16="http://schemas.microsoft.com/office/drawing/2014/main" id="{A3C8F8FD-CDCC-CE7F-CA92-43E54413B8DC}"/>
                        </a:ext>
                      </a:extLst>
                    </xdr:cNvPr>
                    <xdr:cNvSpPr>
                      <a:spLocks noChangeAspect="1"/>
                    </xdr:cNvSpPr>
                  </xdr:nvSpPr>
                  <xdr:spPr>
                    <a:xfrm>
                      <a:off x="17575017" y="5154892"/>
                      <a:ext cx="1755064" cy="1932257"/>
                    </a:xfrm>
                    <a:prstGeom prst="flowChartAlternateProcess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graphicFrame macro="">
                  <xdr:nvGraphicFramePr>
                    <xdr:cNvPr id="155" name="Chart 154">
                      <a:extLst>
                        <a:ext uri="{FF2B5EF4-FFF2-40B4-BE49-F238E27FC236}">
                          <a16:creationId xmlns:a16="http://schemas.microsoft.com/office/drawing/2014/main" id="{F3513D90-4A0D-BD85-1657-F0C5E21A2A09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7679200" y="5488362"/>
                    <a:ext cx="1546907" cy="1375775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18"/>
                    </a:graphicData>
                  </a:graphic>
                </xdr:graphicFrame>
              </xdr:grpSp>
              <xdr:sp macro="" textlink="'Analysis Sheet'!G38">
                <xdr:nvSpPr>
                  <xdr:cNvPr id="153" name="TextBox 152">
                    <a:extLst>
                      <a:ext uri="{FF2B5EF4-FFF2-40B4-BE49-F238E27FC236}">
                        <a16:creationId xmlns:a16="http://schemas.microsoft.com/office/drawing/2014/main" id="{29C69BA6-1FF0-9BAA-9E7C-7D7D75D4FEAE}"/>
                      </a:ext>
                    </a:extLst>
                  </xdr:cNvPr>
                  <xdr:cNvSpPr txBox="1"/>
                </xdr:nvSpPr>
                <xdr:spPr>
                  <a:xfrm>
                    <a:off x="17541396" y="7389139"/>
                    <a:ext cx="1586345" cy="452535"/>
                  </a:xfrm>
                  <a:prstGeom prst="roundRect">
                    <a:avLst>
                      <a:gd name="adj" fmla="val 34582"/>
                    </a:avLst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r>
                      <a:rPr lang="en-US" sz="1400" b="1" i="0" u="none" strike="noStrike">
                        <a:solidFill>
                          <a:srgbClr val="000000"/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t>Well-Utilized</a:t>
                    </a:r>
                    <a:endParaRPr lang="en-IN" sz="16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sp macro="" textlink="'Analysis Sheet'!G62">
              <xdr:nvSpPr>
                <xdr:cNvPr id="176" name="TextBox 175">
                  <a:extLst>
                    <a:ext uri="{FF2B5EF4-FFF2-40B4-BE49-F238E27FC236}">
                      <a16:creationId xmlns:a16="http://schemas.microsoft.com/office/drawing/2014/main" id="{D81EE12B-1268-4B35-8239-735CFF65B89A}"/>
                    </a:ext>
                  </a:extLst>
                </xdr:cNvPr>
                <xdr:cNvSpPr txBox="1"/>
              </xdr:nvSpPr>
              <xdr:spPr>
                <a:xfrm>
                  <a:off x="17762774" y="4643143"/>
                  <a:ext cx="642550" cy="401653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marL="0" indent="0" algn="ctr"/>
                  <a:fld id="{BFF73036-8D64-475A-A7F4-FCBE68F58F21}" type="TxLink">
                    <a:rPr lang="en-US" sz="22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marL="0" indent="0" algn="ctr"/>
                    <a:t>41%</a:t>
                  </a:fld>
                  <a:endParaRPr lang="en-IN" sz="2200" b="1" i="0" u="none" strike="noStrike">
                    <a:solidFill>
                      <a:srgbClr val="000000"/>
                    </a:solidFill>
                    <a:latin typeface="Consolas" panose="020B0609020204030204" pitchFamily="49" charset="0"/>
                    <a:ea typeface="Calibri"/>
                    <a:cs typeface="Calibri"/>
                  </a:endParaRPr>
                </a:p>
              </xdr:txBody>
            </xdr:sp>
            <xdr:sp macro="" textlink="'Analysis Sheet'!E62">
              <xdr:nvSpPr>
                <xdr:cNvPr id="182" name="TextBox 181">
                  <a:extLst>
                    <a:ext uri="{FF2B5EF4-FFF2-40B4-BE49-F238E27FC236}">
                      <a16:creationId xmlns:a16="http://schemas.microsoft.com/office/drawing/2014/main" id="{DF6E73D3-F895-43E9-9ADE-C9B6D69FA695}"/>
                    </a:ext>
                  </a:extLst>
                </xdr:cNvPr>
                <xdr:cNvSpPr txBox="1"/>
              </xdr:nvSpPr>
              <xdr:spPr>
                <a:xfrm>
                  <a:off x="17282893" y="5257399"/>
                  <a:ext cx="1588752" cy="405725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fld id="{DF829218-6166-4237-9BE5-C1AFBA8D2C6C}" type="TxLink">
                    <a:rPr lang="en-US" sz="11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algn="ctr"/>
                    <a:t>34 Buses</a:t>
                  </a:fld>
                  <a:endParaRPr lang="en-IN" sz="16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  <xdr:grpSp>
            <xdr:nvGrpSpPr>
              <xdr:cNvPr id="102" name="Group 101">
                <a:extLst>
                  <a:ext uri="{FF2B5EF4-FFF2-40B4-BE49-F238E27FC236}">
                    <a16:creationId xmlns:a16="http://schemas.microsoft.com/office/drawing/2014/main" id="{3D962CC0-103A-E530-02CF-E95CC2ADF12C}"/>
                  </a:ext>
                </a:extLst>
              </xdr:cNvPr>
              <xdr:cNvGrpSpPr/>
            </xdr:nvGrpSpPr>
            <xdr:grpSpPr>
              <a:xfrm>
                <a:off x="17001881" y="5938209"/>
                <a:ext cx="1743387" cy="1741059"/>
                <a:chOff x="17198552" y="5781630"/>
                <a:chExt cx="1757434" cy="1716476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ADAAAEC9-51D7-4D0B-AB32-2B9201607F36}"/>
                    </a:ext>
                  </a:extLst>
                </xdr:cNvPr>
                <xdr:cNvGrpSpPr/>
              </xdr:nvGrpSpPr>
              <xdr:grpSpPr>
                <a:xfrm>
                  <a:off x="17198552" y="5781630"/>
                  <a:ext cx="1757434" cy="1703502"/>
                  <a:chOff x="17457036" y="7349724"/>
                  <a:chExt cx="1755064" cy="1899310"/>
                </a:xfrm>
              </xdr:grpSpPr>
              <xdr:grpSp>
                <xdr:nvGrpSpPr>
                  <xdr:cNvPr id="147" name="Group 146">
                    <a:extLst>
                      <a:ext uri="{FF2B5EF4-FFF2-40B4-BE49-F238E27FC236}">
                        <a16:creationId xmlns:a16="http://schemas.microsoft.com/office/drawing/2014/main" id="{07145D4D-0961-10A3-05D9-C2B97D688683}"/>
                      </a:ext>
                    </a:extLst>
                  </xdr:cNvPr>
                  <xdr:cNvGrpSpPr/>
                </xdr:nvGrpSpPr>
                <xdr:grpSpPr>
                  <a:xfrm>
                    <a:off x="17457036" y="7349724"/>
                    <a:ext cx="1755064" cy="1899310"/>
                    <a:chOff x="17575023" y="5154894"/>
                    <a:chExt cx="1755064" cy="1917307"/>
                  </a:xfrm>
                </xdr:grpSpPr>
                <xdr:sp macro="" textlink="">
                  <xdr:nvSpPr>
                    <xdr:cNvPr id="149" name="Rectangle: Rounded Corners 1">
                      <a:extLst>
                        <a:ext uri="{FF2B5EF4-FFF2-40B4-BE49-F238E27FC236}">
                          <a16:creationId xmlns:a16="http://schemas.microsoft.com/office/drawing/2014/main" id="{A2958827-65D4-C3B5-F530-E485DF3B81FF}"/>
                        </a:ext>
                      </a:extLst>
                    </xdr:cNvPr>
                    <xdr:cNvSpPr>
                      <a:spLocks noChangeAspect="1"/>
                    </xdr:cNvSpPr>
                  </xdr:nvSpPr>
                  <xdr:spPr>
                    <a:xfrm>
                      <a:off x="17575023" y="5154894"/>
                      <a:ext cx="1755064" cy="1917307"/>
                    </a:xfrm>
                    <a:prstGeom prst="flowChartAlternateProcess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graphicFrame macro="">
                  <xdr:nvGraphicFramePr>
                    <xdr:cNvPr id="150" name="Chart 149">
                      <a:extLst>
                        <a:ext uri="{FF2B5EF4-FFF2-40B4-BE49-F238E27FC236}">
                          <a16:creationId xmlns:a16="http://schemas.microsoft.com/office/drawing/2014/main" id="{373E2D18-7888-8A72-5994-6BF3FA93E63C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7679200" y="5488365"/>
                    <a:ext cx="1546907" cy="1375776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19"/>
                    </a:graphicData>
                  </a:graphic>
                </xdr:graphicFrame>
              </xdr:grpSp>
              <xdr:sp macro="" textlink="'Analysis Sheet'!G38">
                <xdr:nvSpPr>
                  <xdr:cNvPr id="148" name="TextBox 147">
                    <a:extLst>
                      <a:ext uri="{FF2B5EF4-FFF2-40B4-BE49-F238E27FC236}">
                        <a16:creationId xmlns:a16="http://schemas.microsoft.com/office/drawing/2014/main" id="{0AA03980-0F61-AD54-F582-2A66AFD828B4}"/>
                      </a:ext>
                    </a:extLst>
                  </xdr:cNvPr>
                  <xdr:cNvSpPr txBox="1"/>
                </xdr:nvSpPr>
                <xdr:spPr>
                  <a:xfrm>
                    <a:off x="17541396" y="7389139"/>
                    <a:ext cx="1586345" cy="452535"/>
                  </a:xfrm>
                  <a:prstGeom prst="roundRect">
                    <a:avLst>
                      <a:gd name="adj" fmla="val 34582"/>
                    </a:avLst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r>
                      <a:rPr lang="en-US" sz="1400" b="1" i="0" u="none" strike="noStrike">
                        <a:solidFill>
                          <a:srgbClr val="000000"/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t>Under-Utilized</a:t>
                    </a:r>
                    <a:endParaRPr lang="en-IN" sz="16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sp macro="" textlink="'Analysis Sheet'!G61">
              <xdr:nvSpPr>
                <xdr:cNvPr id="175" name="TextBox 174">
                  <a:extLst>
                    <a:ext uri="{FF2B5EF4-FFF2-40B4-BE49-F238E27FC236}">
                      <a16:creationId xmlns:a16="http://schemas.microsoft.com/office/drawing/2014/main" id="{D6A4B010-8796-48FC-91B2-F2B5084300D5}"/>
                    </a:ext>
                  </a:extLst>
                </xdr:cNvPr>
                <xdr:cNvSpPr txBox="1"/>
              </xdr:nvSpPr>
              <xdr:spPr>
                <a:xfrm>
                  <a:off x="17761563" y="6486090"/>
                  <a:ext cx="642550" cy="405220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marL="0" indent="0" algn="ctr"/>
                  <a:fld id="{A701E41C-6A7E-4EC8-A9E3-07BDF496A896}" type="TxLink">
                    <a:rPr lang="en-US" sz="22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marL="0" indent="0" algn="ctr"/>
                    <a:t>35%</a:t>
                  </a:fld>
                  <a:endParaRPr lang="en-IN" sz="2200" b="1" i="0" u="none" strike="noStrike">
                    <a:solidFill>
                      <a:srgbClr val="000000"/>
                    </a:solidFill>
                    <a:latin typeface="Consolas" panose="020B0609020204030204" pitchFamily="49" charset="0"/>
                    <a:ea typeface="Calibri"/>
                    <a:cs typeface="Calibri"/>
                  </a:endParaRPr>
                </a:p>
              </xdr:txBody>
            </xdr:sp>
            <xdr:sp macro="" textlink="'Analysis Sheet'!E61">
              <xdr:nvSpPr>
                <xdr:cNvPr id="183" name="TextBox 182">
                  <a:extLst>
                    <a:ext uri="{FF2B5EF4-FFF2-40B4-BE49-F238E27FC236}">
                      <a16:creationId xmlns:a16="http://schemas.microsoft.com/office/drawing/2014/main" id="{B278F552-4008-461A-8522-A912689109C3}"/>
                    </a:ext>
                  </a:extLst>
                </xdr:cNvPr>
                <xdr:cNvSpPr txBox="1"/>
              </xdr:nvSpPr>
              <xdr:spPr>
                <a:xfrm>
                  <a:off x="17282894" y="7096090"/>
                  <a:ext cx="1588752" cy="402016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fld id="{FD57C29F-C66D-4E39-B34E-A65CFC125CB4}" type="TxLink">
                    <a:rPr lang="en-US" sz="11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algn="ctr"/>
                    <a:t>29 Buses</a:t>
                  </a:fld>
                  <a:endParaRPr lang="en-IN" sz="16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9B9D3782-CAD3-A372-2A43-70D64DC58C65}"/>
                  </a:ext>
                </a:extLst>
              </xdr:cNvPr>
              <xdr:cNvGrpSpPr/>
            </xdr:nvGrpSpPr>
            <xdr:grpSpPr>
              <a:xfrm>
                <a:off x="17001881" y="7750936"/>
                <a:ext cx="1743387" cy="1771778"/>
                <a:chOff x="17198552" y="7638943"/>
                <a:chExt cx="1757434" cy="1747194"/>
              </a:xfrm>
            </xdr:grpSpPr>
            <xdr:grpSp>
              <xdr:nvGrpSpPr>
                <xdr:cNvPr id="140" name="Group 139">
                  <a:extLst>
                    <a:ext uri="{FF2B5EF4-FFF2-40B4-BE49-F238E27FC236}">
                      <a16:creationId xmlns:a16="http://schemas.microsoft.com/office/drawing/2014/main" id="{60A4031C-E9F0-FFD5-905B-99BB211A9A51}"/>
                    </a:ext>
                  </a:extLst>
                </xdr:cNvPr>
                <xdr:cNvGrpSpPr/>
              </xdr:nvGrpSpPr>
              <xdr:grpSpPr>
                <a:xfrm>
                  <a:off x="17198552" y="7638943"/>
                  <a:ext cx="1757434" cy="1728860"/>
                  <a:chOff x="17457036" y="7349723"/>
                  <a:chExt cx="1755064" cy="1930399"/>
                </a:xfrm>
              </xdr:grpSpPr>
              <xdr:grpSp>
                <xdr:nvGrpSpPr>
                  <xdr:cNvPr id="127" name="Group 126">
                    <a:extLst>
                      <a:ext uri="{FF2B5EF4-FFF2-40B4-BE49-F238E27FC236}">
                        <a16:creationId xmlns:a16="http://schemas.microsoft.com/office/drawing/2014/main" id="{2E11AEEA-B40E-4BAA-88BB-2D0132E5C3CC}"/>
                      </a:ext>
                    </a:extLst>
                  </xdr:cNvPr>
                  <xdr:cNvGrpSpPr/>
                </xdr:nvGrpSpPr>
                <xdr:grpSpPr>
                  <a:xfrm>
                    <a:off x="17457036" y="7349723"/>
                    <a:ext cx="1755064" cy="1930399"/>
                    <a:chOff x="17575023" y="5154894"/>
                    <a:chExt cx="1755064" cy="1948691"/>
                  </a:xfrm>
                </xdr:grpSpPr>
                <xdr:sp macro="" textlink="">
                  <xdr:nvSpPr>
                    <xdr:cNvPr id="128" name="Rectangle: Rounded Corners 1">
                      <a:extLst>
                        <a:ext uri="{FF2B5EF4-FFF2-40B4-BE49-F238E27FC236}">
                          <a16:creationId xmlns:a16="http://schemas.microsoft.com/office/drawing/2014/main" id="{54A6CDF4-1A3B-419B-B6C3-EF0A6D52BEB5}"/>
                        </a:ext>
                      </a:extLst>
                    </xdr:cNvPr>
                    <xdr:cNvSpPr>
                      <a:spLocks noChangeAspect="1"/>
                    </xdr:cNvSpPr>
                  </xdr:nvSpPr>
                  <xdr:spPr>
                    <a:xfrm>
                      <a:off x="17575023" y="5154894"/>
                      <a:ext cx="1755064" cy="1948691"/>
                    </a:xfrm>
                    <a:prstGeom prst="flowChartAlternateProcess">
                      <a:avLst/>
                    </a:prstGeom>
                    <a:solidFill>
                      <a:schemeClr val="bg1">
                        <a:lumMod val="95000"/>
                      </a:schemeClr>
                    </a:solidFill>
                    <a:ln>
                      <a:noFill/>
                    </a:ln>
                  </xdr:spPr>
                  <xdr:style>
                    <a:lnRef idx="2">
                      <a:schemeClr val="accent6"/>
                    </a:lnRef>
                    <a:fillRef idx="1">
                      <a:schemeClr val="lt1"/>
                    </a:fillRef>
                    <a:effectRef idx="0">
                      <a:schemeClr val="accent6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IN" sz="1900" b="1"/>
                    </a:p>
                  </xdr:txBody>
                </xdr:sp>
                <xdr:graphicFrame macro="">
                  <xdr:nvGraphicFramePr>
                    <xdr:cNvPr id="129" name="Chart 128">
                      <a:extLst>
                        <a:ext uri="{FF2B5EF4-FFF2-40B4-BE49-F238E27FC236}">
                          <a16:creationId xmlns:a16="http://schemas.microsoft.com/office/drawing/2014/main" id="{6BC0369F-232F-5E75-A727-54776800E32A}"/>
                        </a:ext>
                      </a:extLst>
                    </xdr:cNvPr>
                    <xdr:cNvGraphicFramePr>
                      <a:graphicFrameLocks/>
                    </xdr:cNvGraphicFramePr>
                  </xdr:nvGraphicFramePr>
                  <xdr:xfrm>
                    <a:off x="17679200" y="5488362"/>
                    <a:ext cx="1546907" cy="1375775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20"/>
                    </a:graphicData>
                  </a:graphic>
                </xdr:graphicFrame>
              </xdr:grpSp>
              <xdr:sp macro="" textlink="'Analysis Sheet'!G38">
                <xdr:nvSpPr>
                  <xdr:cNvPr id="136" name="TextBox 135">
                    <a:extLst>
                      <a:ext uri="{FF2B5EF4-FFF2-40B4-BE49-F238E27FC236}">
                        <a16:creationId xmlns:a16="http://schemas.microsoft.com/office/drawing/2014/main" id="{8CD385A8-AC5C-45EF-83AE-CF6D6C0AF81D}"/>
                      </a:ext>
                    </a:extLst>
                  </xdr:cNvPr>
                  <xdr:cNvSpPr txBox="1"/>
                </xdr:nvSpPr>
                <xdr:spPr>
                  <a:xfrm>
                    <a:off x="17541396" y="7389139"/>
                    <a:ext cx="1586345" cy="452535"/>
                  </a:xfrm>
                  <a:prstGeom prst="roundRect">
                    <a:avLst>
                      <a:gd name="adj" fmla="val 34582"/>
                    </a:avLst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none" rtlCol="0" anchor="ctr" anchorCtr="0"/>
                  <a:lstStyle/>
                  <a:p>
                    <a:pPr algn="ctr"/>
                    <a:r>
                      <a:rPr lang="en-US" sz="1400" b="1" i="0" u="none" strike="noStrike">
                        <a:solidFill>
                          <a:srgbClr val="000000"/>
                        </a:solidFill>
                        <a:latin typeface="Consolas" panose="020B0609020204030204" pitchFamily="49" charset="0"/>
                        <a:ea typeface="Calibri"/>
                        <a:cs typeface="Calibri"/>
                      </a:rPr>
                      <a:t>Over-Utilized</a:t>
                    </a:r>
                    <a:endParaRPr lang="en-IN" sz="16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endParaRPr>
                  </a:p>
                </xdr:txBody>
              </xdr:sp>
            </xdr:grpSp>
            <xdr:sp macro="" textlink="'Analysis Sheet'!G60">
              <xdr:nvSpPr>
                <xdr:cNvPr id="174" name="TextBox 173">
                  <a:extLst>
                    <a:ext uri="{FF2B5EF4-FFF2-40B4-BE49-F238E27FC236}">
                      <a16:creationId xmlns:a16="http://schemas.microsoft.com/office/drawing/2014/main" id="{AC3D0901-1FB3-4731-80B4-044B2FA7A8AD}"/>
                    </a:ext>
                  </a:extLst>
                </xdr:cNvPr>
                <xdr:cNvSpPr txBox="1"/>
              </xdr:nvSpPr>
              <xdr:spPr>
                <a:xfrm>
                  <a:off x="17751439" y="8340208"/>
                  <a:ext cx="650236" cy="401652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fld id="{58AF5F8C-AB66-49BA-A564-619FF8BE5425}" type="TxLink">
                    <a:rPr lang="en-US" sz="22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algn="ctr"/>
                    <a:t>24%</a:t>
                  </a:fld>
                  <a:endParaRPr lang="en-IN" sz="22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  <xdr:sp macro="" textlink="'Analysis Sheet'!E60">
              <xdr:nvSpPr>
                <xdr:cNvPr id="184" name="TextBox 183">
                  <a:extLst>
                    <a:ext uri="{FF2B5EF4-FFF2-40B4-BE49-F238E27FC236}">
                      <a16:creationId xmlns:a16="http://schemas.microsoft.com/office/drawing/2014/main" id="{1FEFC729-001A-4EF9-99AC-702CBB9C6847}"/>
                    </a:ext>
                  </a:extLst>
                </xdr:cNvPr>
                <xdr:cNvSpPr txBox="1"/>
              </xdr:nvSpPr>
              <xdr:spPr>
                <a:xfrm>
                  <a:off x="17282894" y="8980410"/>
                  <a:ext cx="1588752" cy="405727"/>
                </a:xfrm>
                <a:prstGeom prst="roundRect">
                  <a:avLst>
                    <a:gd name="adj" fmla="val 34582"/>
                  </a:avLst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fld id="{AA5D2807-5238-4A58-AD8B-D2A13FBE762E}" type="TxLink">
                    <a:rPr lang="en-US" sz="1100" b="1" i="0" u="none" strike="noStrike">
                      <a:solidFill>
                        <a:srgbClr val="000000"/>
                      </a:solidFill>
                      <a:latin typeface="Consolas" panose="020B0609020204030204" pitchFamily="49" charset="0"/>
                      <a:ea typeface="Calibri"/>
                      <a:cs typeface="Calibri"/>
                    </a:rPr>
                    <a:pPr algn="ctr"/>
                    <a:t>20 Buses</a:t>
                  </a:fld>
                  <a:endParaRPr lang="en-IN" sz="11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</xdr:grpSp>
      </xdr:grpSp>
      <xdr:grpSp>
        <xdr:nvGrpSpPr>
          <xdr:cNvPr id="168" name="Group 167">
            <a:extLst>
              <a:ext uri="{FF2B5EF4-FFF2-40B4-BE49-F238E27FC236}">
                <a16:creationId xmlns:a16="http://schemas.microsoft.com/office/drawing/2014/main" id="{39ACAF15-8B33-BB7C-A814-CC86617DB431}"/>
              </a:ext>
            </a:extLst>
          </xdr:cNvPr>
          <xdr:cNvGrpSpPr/>
        </xdr:nvGrpSpPr>
        <xdr:grpSpPr>
          <a:xfrm>
            <a:off x="795431" y="192850"/>
            <a:ext cx="18713497" cy="2720237"/>
            <a:chOff x="795431" y="192850"/>
            <a:chExt cx="18713497" cy="2720237"/>
          </a:xfrm>
        </xdr:grpSpPr>
        <xdr:grpSp>
          <xdr:nvGrpSpPr>
            <xdr:cNvPr id="63" name="Group 3">
              <a:extLst>
                <a:ext uri="{FF2B5EF4-FFF2-40B4-BE49-F238E27FC236}">
                  <a16:creationId xmlns:a16="http://schemas.microsoft.com/office/drawing/2014/main" id="{5E46EA18-F0F9-D423-DAA9-048F63839707}"/>
                </a:ext>
              </a:extLst>
            </xdr:cNvPr>
            <xdr:cNvGrpSpPr/>
          </xdr:nvGrpSpPr>
          <xdr:grpSpPr>
            <a:xfrm>
              <a:off x="804399" y="192850"/>
              <a:ext cx="18704529" cy="639694"/>
              <a:chOff x="4260888" y="197240"/>
              <a:chExt cx="7350560" cy="892955"/>
            </a:xfrm>
            <a:solidFill>
              <a:schemeClr val="tx2">
                <a:lumMod val="50000"/>
              </a:schemeClr>
            </a:solidFill>
          </xdr:grpSpPr>
          <xdr:sp macro="" textlink="">
            <xdr:nvSpPr>
              <xdr:cNvPr id="64" name="Rectangle: Rounded Corners 1">
                <a:extLst>
                  <a:ext uri="{FF2B5EF4-FFF2-40B4-BE49-F238E27FC236}">
                    <a16:creationId xmlns:a16="http://schemas.microsoft.com/office/drawing/2014/main" id="{D509B875-60B2-0108-45FA-FF4F0295EA9C}"/>
                  </a:ext>
                </a:extLst>
              </xdr:cNvPr>
              <xdr:cNvSpPr/>
            </xdr:nvSpPr>
            <xdr:spPr>
              <a:xfrm>
                <a:off x="4260888" y="197240"/>
                <a:ext cx="7350560" cy="892955"/>
              </a:xfrm>
              <a:prstGeom prst="roundRect">
                <a:avLst>
                  <a:gd name="adj" fmla="val 29176"/>
                </a:avLst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900" b="1"/>
              </a:p>
            </xdr:txBody>
          </xdr:sp>
          <xdr:sp macro="" textlink="">
            <xdr:nvSpPr>
              <xdr:cNvPr id="65" name="TextBox 2">
                <a:extLst>
                  <a:ext uri="{FF2B5EF4-FFF2-40B4-BE49-F238E27FC236}">
                    <a16:creationId xmlns:a16="http://schemas.microsoft.com/office/drawing/2014/main" id="{19E98259-F191-31A8-DB61-C70B8D5F4D08}"/>
                  </a:ext>
                </a:extLst>
              </xdr:cNvPr>
              <xdr:cNvSpPr txBox="1"/>
            </xdr:nvSpPr>
            <xdr:spPr>
              <a:xfrm>
                <a:off x="4330299" y="306628"/>
                <a:ext cx="7225820" cy="713625"/>
              </a:xfrm>
              <a:prstGeom prst="round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algn="ctr"/>
                <a:r>
                  <a:rPr lang="en-IN" sz="2800" b="1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rPr>
                  <a:t>Tranportation</a:t>
                </a:r>
                <a:r>
                  <a:rPr lang="en-IN" sz="2800" b="1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rPr>
                  <a:t> Details Dashboard</a:t>
                </a:r>
                <a:endParaRPr lang="en-IN" sz="2800" b="1">
                  <a:solidFill>
                    <a:schemeClr val="tx1">
                      <a:lumMod val="85000"/>
                      <a:lumOff val="1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endParaRPr>
              </a:p>
            </xdr:txBody>
          </xdr:sp>
        </xdr:grpSp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EC2B8D77-38BB-25A5-69B9-84A8B2F6401B}"/>
                </a:ext>
              </a:extLst>
            </xdr:cNvPr>
            <xdr:cNvGrpSpPr/>
          </xdr:nvGrpSpPr>
          <xdr:grpSpPr>
            <a:xfrm>
              <a:off x="795431" y="936460"/>
              <a:ext cx="2315127" cy="1233370"/>
              <a:chOff x="791715" y="1097148"/>
              <a:chExt cx="2247723" cy="1234859"/>
            </a:xfrm>
          </xdr:grpSpPr>
          <xdr:grpSp>
            <xdr:nvGrpSpPr>
              <xdr:cNvPr id="5" name="Group 4">
                <a:extLst>
                  <a:ext uri="{FF2B5EF4-FFF2-40B4-BE49-F238E27FC236}">
                    <a16:creationId xmlns:a16="http://schemas.microsoft.com/office/drawing/2014/main" id="{3F4C3123-CEF0-4C0E-83F8-E96D82332FF1}"/>
                  </a:ext>
                </a:extLst>
              </xdr:cNvPr>
              <xdr:cNvGrpSpPr/>
            </xdr:nvGrpSpPr>
            <xdr:grpSpPr>
              <a:xfrm>
                <a:off x="791715" y="1097148"/>
                <a:ext cx="2247723" cy="1234859"/>
                <a:chOff x="4260887" y="197240"/>
                <a:chExt cx="7350560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6" name="Rectangle: Rounded Corners 1">
                  <a:extLst>
                    <a:ext uri="{FF2B5EF4-FFF2-40B4-BE49-F238E27FC236}">
                      <a16:creationId xmlns:a16="http://schemas.microsoft.com/office/drawing/2014/main" id="{256F79FC-7A46-DE26-5230-C80A1BDAF0AD}"/>
                    </a:ext>
                  </a:extLst>
                </xdr:cNvPr>
                <xdr:cNvSpPr/>
              </xdr:nvSpPr>
              <xdr:spPr>
                <a:xfrm>
                  <a:off x="4260887" y="197240"/>
                  <a:ext cx="7350560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7" name="TextBox 6">
                  <a:extLst>
                    <a:ext uri="{FF2B5EF4-FFF2-40B4-BE49-F238E27FC236}">
                      <a16:creationId xmlns:a16="http://schemas.microsoft.com/office/drawing/2014/main" id="{204C5064-C318-AA5C-FB34-53EE8B5839C8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17" cy="165650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Total</a:t>
                  </a:r>
                  <a:r>
                    <a:rPr lang="en-IN" sz="1200" b="1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 Commuters</a:t>
                  </a:r>
                  <a:endParaRPr lang="en-IN" sz="12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  <xdr:sp macro="" textlink="'Analysis Sheet'!$C$14">
            <xdr:nvSpPr>
              <xdr:cNvPr id="24" name="TextBox 23">
                <a:extLst>
                  <a:ext uri="{FF2B5EF4-FFF2-40B4-BE49-F238E27FC236}">
                    <a16:creationId xmlns:a16="http://schemas.microsoft.com/office/drawing/2014/main" id="{9C485129-A3C7-4B38-985C-9D17452A33B9}"/>
                  </a:ext>
                </a:extLst>
              </xdr:cNvPr>
              <xdr:cNvSpPr txBox="1"/>
            </xdr:nvSpPr>
            <xdr:spPr>
              <a:xfrm>
                <a:off x="817401" y="1465306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algn="ctr"/>
                <a:fld id="{F4ECDE25-CD69-433C-9E97-9F6B0129C62C}" type="TxLink">
                  <a:rPr lang="en-US" sz="4000" b="1" i="0" u="none" strike="noStrike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algn="ctr"/>
                  <a:t>6,587</a:t>
                </a:fld>
                <a:endParaRPr lang="en-IN" sz="4000" b="1" i="0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Verdana" panose="020B0604030504040204" pitchFamily="34" charset="0"/>
                  <a:cs typeface="Cascadia Code" panose="020B0609020000020004" pitchFamily="49" charset="0"/>
                </a:endParaRPr>
              </a:p>
            </xdr:txBody>
          </xdr:sp>
        </xdr:grpSp>
        <xdr:grpSp>
          <xdr:nvGrpSpPr>
            <xdr:cNvPr id="19" name="Group 27">
              <a:extLst>
                <a:ext uri="{FF2B5EF4-FFF2-40B4-BE49-F238E27FC236}">
                  <a16:creationId xmlns:a16="http://schemas.microsoft.com/office/drawing/2014/main" id="{D4D328AC-8964-0F6A-3AB9-F1736B56C9B3}"/>
                </a:ext>
              </a:extLst>
            </xdr:cNvPr>
            <xdr:cNvGrpSpPr/>
          </xdr:nvGrpSpPr>
          <xdr:grpSpPr>
            <a:xfrm>
              <a:off x="3218614" y="940093"/>
              <a:ext cx="2313058" cy="1226105"/>
              <a:chOff x="3833034" y="1089623"/>
              <a:chExt cx="2247723" cy="1234859"/>
            </a:xfrm>
          </xdr:grpSpPr>
          <xdr:grpSp>
            <xdr:nvGrpSpPr>
              <xdr:cNvPr id="20" name="Group 8">
                <a:extLst>
                  <a:ext uri="{FF2B5EF4-FFF2-40B4-BE49-F238E27FC236}">
                    <a16:creationId xmlns:a16="http://schemas.microsoft.com/office/drawing/2014/main" id="{CADCEB26-AA98-4CD2-9433-CABB7FDF2122}"/>
                  </a:ext>
                </a:extLst>
              </xdr:cNvPr>
              <xdr:cNvGrpSpPr/>
            </xdr:nvGrpSpPr>
            <xdr:grpSpPr>
              <a:xfrm>
                <a:off x="3833034" y="1089623"/>
                <a:ext cx="2247723" cy="1234859"/>
                <a:chOff x="4260891" y="197240"/>
                <a:chExt cx="7350563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21" name="Rectangle: Rounded Corners 1">
                  <a:extLst>
                    <a:ext uri="{FF2B5EF4-FFF2-40B4-BE49-F238E27FC236}">
                      <a16:creationId xmlns:a16="http://schemas.microsoft.com/office/drawing/2014/main" id="{5604816A-ACB3-5BB2-71B9-3949EC718E88}"/>
                    </a:ext>
                  </a:extLst>
                </xdr:cNvPr>
                <xdr:cNvSpPr/>
              </xdr:nvSpPr>
              <xdr:spPr>
                <a:xfrm>
                  <a:off x="4260891" y="197240"/>
                  <a:ext cx="7350563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22" name="TextBox 10">
                  <a:extLst>
                    <a:ext uri="{FF2B5EF4-FFF2-40B4-BE49-F238E27FC236}">
                      <a16:creationId xmlns:a16="http://schemas.microsoft.com/office/drawing/2014/main" id="{936B4870-2F1E-1E35-F3A3-8A0B56817671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21" cy="191138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Average</a:t>
                  </a:r>
                  <a:r>
                    <a:rPr lang="en-IN" sz="1200" b="1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 Commuters per Trip</a:t>
                  </a:r>
                  <a:endParaRPr lang="en-IN" sz="12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  <xdr:sp macro="" textlink="'Analysis Sheet'!$D$14">
            <xdr:nvSpPr>
              <xdr:cNvPr id="23" name="TextBox 24">
                <a:extLst>
                  <a:ext uri="{FF2B5EF4-FFF2-40B4-BE49-F238E27FC236}">
                    <a16:creationId xmlns:a16="http://schemas.microsoft.com/office/drawing/2014/main" id="{DC6ACBFD-8C69-4D62-A732-C5F83F9FC16E}"/>
                  </a:ext>
                </a:extLst>
              </xdr:cNvPr>
              <xdr:cNvSpPr txBox="1"/>
            </xdr:nvSpPr>
            <xdr:spPr>
              <a:xfrm>
                <a:off x="3838004" y="1463594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marL="0" indent="0" algn="ctr"/>
                <a:fld id="{C5BAA8C4-54E5-46AE-8FDF-AC4E4B90222F}" type="TxLink">
                  <a:rPr lang="en-US" sz="4000" b="1" i="0" u="none" strike="noStrike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marL="0" indent="0" algn="ctr"/>
                  <a:t>33</a:t>
                </a:fld>
                <a:endParaRPr lang="en-IN" sz="4000" b="1" i="0" u="none" strike="noStrike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E2282ADD-A0F4-55FF-1141-7BC76D894648}"/>
                </a:ext>
              </a:extLst>
            </xdr:cNvPr>
            <xdr:cNvGrpSpPr/>
          </xdr:nvGrpSpPr>
          <xdr:grpSpPr>
            <a:xfrm>
              <a:off x="5639729" y="934422"/>
              <a:ext cx="2316734" cy="1237446"/>
              <a:chOff x="6863066" y="1099029"/>
              <a:chExt cx="2251317" cy="1234859"/>
            </a:xfrm>
          </xdr:grpSpPr>
          <xdr:grpSp>
            <xdr:nvGrpSpPr>
              <xdr:cNvPr id="12" name="Group 11">
                <a:extLst>
                  <a:ext uri="{FF2B5EF4-FFF2-40B4-BE49-F238E27FC236}">
                    <a16:creationId xmlns:a16="http://schemas.microsoft.com/office/drawing/2014/main" id="{EA1F8831-099B-3FCD-D0DB-B887D7930FC1}"/>
                  </a:ext>
                </a:extLst>
              </xdr:cNvPr>
              <xdr:cNvGrpSpPr/>
            </xdr:nvGrpSpPr>
            <xdr:grpSpPr>
              <a:xfrm>
                <a:off x="6863066" y="1099029"/>
                <a:ext cx="2251317" cy="1234859"/>
                <a:chOff x="4260887" y="197240"/>
                <a:chExt cx="7350560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13" name="Rectangle: Rounded Corners 1">
                  <a:extLst>
                    <a:ext uri="{FF2B5EF4-FFF2-40B4-BE49-F238E27FC236}">
                      <a16:creationId xmlns:a16="http://schemas.microsoft.com/office/drawing/2014/main" id="{DC84EC2E-1AEC-23D2-57F6-1F6FAFFFF585}"/>
                    </a:ext>
                  </a:extLst>
                </xdr:cNvPr>
                <xdr:cNvSpPr/>
              </xdr:nvSpPr>
              <xdr:spPr>
                <a:xfrm>
                  <a:off x="4260887" y="197240"/>
                  <a:ext cx="7350560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14" name="TextBox 13">
                  <a:extLst>
                    <a:ext uri="{FF2B5EF4-FFF2-40B4-BE49-F238E27FC236}">
                      <a16:creationId xmlns:a16="http://schemas.microsoft.com/office/drawing/2014/main" id="{E64232FB-94F9-4E32-0CBD-06220CCE755F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21" cy="164206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Average Commuter</a:t>
                  </a:r>
                  <a:r>
                    <a:rPr lang="en-IN" sz="1200" b="1" baseline="0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 Age</a:t>
                  </a:r>
                  <a:endParaRPr lang="en-IN" sz="1200" b="1">
                    <a:solidFill>
                      <a:schemeClr val="bg1"/>
                    </a:solidFill>
                    <a:latin typeface="Consolas" panose="020B0609020204030204" pitchFamily="49" charset="0"/>
                    <a:ea typeface="Verdana" panose="020B0604030504040204" pitchFamily="34" charset="0"/>
                    <a:cs typeface="Cascadia Code" panose="020B0609020000020004" pitchFamily="49" charset="0"/>
                  </a:endParaRPr>
                </a:p>
              </xdr:txBody>
            </xdr:sp>
          </xdr:grpSp>
          <xdr:sp macro="" textlink="'Analysis Sheet'!$D$11">
            <xdr:nvSpPr>
              <xdr:cNvPr id="26" name="TextBox 25">
                <a:extLst>
                  <a:ext uri="{FF2B5EF4-FFF2-40B4-BE49-F238E27FC236}">
                    <a16:creationId xmlns:a16="http://schemas.microsoft.com/office/drawing/2014/main" id="{E115A833-43FD-403A-8225-AAE5222F5855}"/>
                  </a:ext>
                </a:extLst>
              </xdr:cNvPr>
              <xdr:cNvSpPr txBox="1"/>
            </xdr:nvSpPr>
            <xdr:spPr>
              <a:xfrm>
                <a:off x="6875728" y="1461882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marL="0" indent="0" algn="ctr"/>
                <a:fld id="{9D531DDF-327E-4269-A14A-A7B3DE3364B5}" type="TxLink">
                  <a:rPr lang="en-US" sz="4000" b="1" i="0" u="none" strike="noStrike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marL="0" indent="0" algn="ctr"/>
                  <a:t>43</a:t>
                </a:fld>
                <a:endParaRPr lang="en-IN" sz="4000" b="1" i="0" u="none" strike="noStrike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4F083386-52C5-4491-8052-29333017A84F}"/>
                </a:ext>
              </a:extLst>
            </xdr:cNvPr>
            <xdr:cNvGrpSpPr/>
          </xdr:nvGrpSpPr>
          <xdr:grpSpPr>
            <a:xfrm>
              <a:off x="8064520" y="936235"/>
              <a:ext cx="2922081" cy="1233820"/>
              <a:chOff x="6863066" y="1099029"/>
              <a:chExt cx="2251317" cy="1234859"/>
            </a:xfrm>
          </xdr:grpSpPr>
          <xdr:grpSp>
            <xdr:nvGrpSpPr>
              <xdr:cNvPr id="31" name="Group 30">
                <a:extLst>
                  <a:ext uri="{FF2B5EF4-FFF2-40B4-BE49-F238E27FC236}">
                    <a16:creationId xmlns:a16="http://schemas.microsoft.com/office/drawing/2014/main" id="{153E876A-2AB7-9993-C70C-F257273799A1}"/>
                  </a:ext>
                </a:extLst>
              </xdr:cNvPr>
              <xdr:cNvGrpSpPr/>
            </xdr:nvGrpSpPr>
            <xdr:grpSpPr>
              <a:xfrm>
                <a:off x="6863066" y="1099029"/>
                <a:ext cx="2251317" cy="1234859"/>
                <a:chOff x="4260887" y="197240"/>
                <a:chExt cx="7350560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33" name="Rectangle: Rounded Corners 1">
                  <a:extLst>
                    <a:ext uri="{FF2B5EF4-FFF2-40B4-BE49-F238E27FC236}">
                      <a16:creationId xmlns:a16="http://schemas.microsoft.com/office/drawing/2014/main" id="{F64916BC-2B37-B67A-40B1-C099DF64C7B3}"/>
                    </a:ext>
                  </a:extLst>
                </xdr:cNvPr>
                <xdr:cNvSpPr/>
              </xdr:nvSpPr>
              <xdr:spPr>
                <a:xfrm>
                  <a:off x="4260887" y="197240"/>
                  <a:ext cx="7350560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34" name="TextBox 33">
                  <a:extLst>
                    <a:ext uri="{FF2B5EF4-FFF2-40B4-BE49-F238E27FC236}">
                      <a16:creationId xmlns:a16="http://schemas.microsoft.com/office/drawing/2014/main" id="{8492DBE6-28E1-7F3B-75E5-BF3F2995586E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21" cy="164206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Busiest Route</a:t>
                  </a:r>
                </a:p>
              </xdr:txBody>
            </xdr:sp>
          </xdr:grpSp>
          <xdr:sp macro="" textlink="'Analysis Sheet'!$C$17">
            <xdr:nvSpPr>
              <xdr:cNvPr id="32" name="TextBox 31">
                <a:extLst>
                  <a:ext uri="{FF2B5EF4-FFF2-40B4-BE49-F238E27FC236}">
                    <a16:creationId xmlns:a16="http://schemas.microsoft.com/office/drawing/2014/main" id="{84142818-127A-CE28-0455-8C83509334C9}"/>
                  </a:ext>
                </a:extLst>
              </xdr:cNvPr>
              <xdr:cNvSpPr txBox="1"/>
            </xdr:nvSpPr>
            <xdr:spPr>
              <a:xfrm>
                <a:off x="6875728" y="1461882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marL="0" indent="0" algn="ctr"/>
                <a:fld id="{7DA700E3-A24D-49B9-9E5F-3DEA32D247AE}" type="TxLink">
                  <a:rPr lang="en-US" sz="2200" b="1" i="0" u="none" strike="noStrike">
                    <a:solidFill>
                      <a:srgbClr val="000000"/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marL="0" indent="0" algn="ctr"/>
                  <a:t>East-West Express</a:t>
                </a:fld>
                <a:endParaRPr lang="en-IN" sz="2200" b="1" i="0" u="none" strike="noStrike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35" name="Group 34">
              <a:extLst>
                <a:ext uri="{FF2B5EF4-FFF2-40B4-BE49-F238E27FC236}">
                  <a16:creationId xmlns:a16="http://schemas.microsoft.com/office/drawing/2014/main" id="{2E1E7CEB-A288-4593-8740-3DAAA2916081}"/>
                </a:ext>
              </a:extLst>
            </xdr:cNvPr>
            <xdr:cNvGrpSpPr/>
          </xdr:nvGrpSpPr>
          <xdr:grpSpPr>
            <a:xfrm>
              <a:off x="11096664" y="933350"/>
              <a:ext cx="2951782" cy="1239591"/>
              <a:chOff x="6863066" y="1099029"/>
              <a:chExt cx="2251317" cy="1234859"/>
            </a:xfrm>
          </xdr:grpSpPr>
          <xdr:grpSp>
            <xdr:nvGrpSpPr>
              <xdr:cNvPr id="36" name="Group 35">
                <a:extLst>
                  <a:ext uri="{FF2B5EF4-FFF2-40B4-BE49-F238E27FC236}">
                    <a16:creationId xmlns:a16="http://schemas.microsoft.com/office/drawing/2014/main" id="{71F3B39F-7F29-D65B-1DF1-D88D6C8DCA18}"/>
                  </a:ext>
                </a:extLst>
              </xdr:cNvPr>
              <xdr:cNvGrpSpPr/>
            </xdr:nvGrpSpPr>
            <xdr:grpSpPr>
              <a:xfrm>
                <a:off x="6863066" y="1099029"/>
                <a:ext cx="2251317" cy="1234859"/>
                <a:chOff x="4260887" y="197240"/>
                <a:chExt cx="7350559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38" name="Rectangle: Rounded Corners 1">
                  <a:extLst>
                    <a:ext uri="{FF2B5EF4-FFF2-40B4-BE49-F238E27FC236}">
                      <a16:creationId xmlns:a16="http://schemas.microsoft.com/office/drawing/2014/main" id="{87426204-5F5E-C95B-9967-C8BC44108DDF}"/>
                    </a:ext>
                  </a:extLst>
                </xdr:cNvPr>
                <xdr:cNvSpPr/>
              </xdr:nvSpPr>
              <xdr:spPr>
                <a:xfrm>
                  <a:off x="4260887" y="197240"/>
                  <a:ext cx="7350559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39" name="TextBox 38">
                  <a:extLst>
                    <a:ext uri="{FF2B5EF4-FFF2-40B4-BE49-F238E27FC236}">
                      <a16:creationId xmlns:a16="http://schemas.microsoft.com/office/drawing/2014/main" id="{A2202762-A57B-09CA-AE66-60D001AA9E55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21" cy="164206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Least Busiest Route</a:t>
                  </a:r>
                </a:p>
              </xdr:txBody>
            </xdr:sp>
          </xdr:grpSp>
          <xdr:sp macro="" textlink="'Analysis Sheet'!$C$20">
            <xdr:nvSpPr>
              <xdr:cNvPr id="37" name="TextBox 36">
                <a:extLst>
                  <a:ext uri="{FF2B5EF4-FFF2-40B4-BE49-F238E27FC236}">
                    <a16:creationId xmlns:a16="http://schemas.microsoft.com/office/drawing/2014/main" id="{9C4532EC-9F2E-B0FA-890A-C1615428BDCE}"/>
                  </a:ext>
                </a:extLst>
              </xdr:cNvPr>
              <xdr:cNvSpPr txBox="1"/>
            </xdr:nvSpPr>
            <xdr:spPr>
              <a:xfrm>
                <a:off x="6875728" y="1461882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marL="0" indent="0" algn="ctr"/>
                <a:fld id="{CA22682C-C0BE-4DFF-8DEC-FE31B3EFB499}" type="TxLink">
                  <a:rPr lang="en-US" sz="2200" b="1" i="0" u="none" strike="noStrike">
                    <a:solidFill>
                      <a:srgbClr val="000000"/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marL="0" indent="0" algn="ctr"/>
                  <a:t>South Line</a:t>
                </a:fld>
                <a:endParaRPr lang="en-IN" sz="2200" b="1" i="0" u="none" strike="noStrike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Calibri"/>
                  <a:cs typeface="Calibri"/>
                </a:endParaRPr>
              </a:p>
            </xdr:txBody>
          </xdr:sp>
        </xdr:grpSp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95F5C1B5-976C-41CA-9D2F-88E2DAE365BE}"/>
                </a:ext>
              </a:extLst>
            </xdr:cNvPr>
            <xdr:cNvGrpSpPr/>
          </xdr:nvGrpSpPr>
          <xdr:grpSpPr>
            <a:xfrm>
              <a:off x="14158507" y="934422"/>
              <a:ext cx="2314729" cy="1237446"/>
              <a:chOff x="6863066" y="1099029"/>
              <a:chExt cx="2251317" cy="1234859"/>
            </a:xfrm>
          </xdr:grpSpPr>
          <xdr:grpSp>
            <xdr:nvGrpSpPr>
              <xdr:cNvPr id="97" name="Group 96">
                <a:extLst>
                  <a:ext uri="{FF2B5EF4-FFF2-40B4-BE49-F238E27FC236}">
                    <a16:creationId xmlns:a16="http://schemas.microsoft.com/office/drawing/2014/main" id="{52D40A8C-253D-C1E8-A283-E7FF3025109F}"/>
                  </a:ext>
                </a:extLst>
              </xdr:cNvPr>
              <xdr:cNvGrpSpPr/>
            </xdr:nvGrpSpPr>
            <xdr:grpSpPr>
              <a:xfrm>
                <a:off x="6863066" y="1099029"/>
                <a:ext cx="2251317" cy="1234859"/>
                <a:chOff x="4260887" y="197240"/>
                <a:chExt cx="7350560" cy="947748"/>
              </a:xfrm>
              <a:solidFill>
                <a:schemeClr val="tx2">
                  <a:lumMod val="60000"/>
                  <a:lumOff val="40000"/>
                </a:schemeClr>
              </a:solidFill>
            </xdr:grpSpPr>
            <xdr:sp macro="" textlink="">
              <xdr:nvSpPr>
                <xdr:cNvPr id="100" name="Rectangle: Rounded Corners 1">
                  <a:extLst>
                    <a:ext uri="{FF2B5EF4-FFF2-40B4-BE49-F238E27FC236}">
                      <a16:creationId xmlns:a16="http://schemas.microsoft.com/office/drawing/2014/main" id="{058B3234-41FE-998C-B9E3-B6205CB4377D}"/>
                    </a:ext>
                  </a:extLst>
                </xdr:cNvPr>
                <xdr:cNvSpPr/>
              </xdr:nvSpPr>
              <xdr:spPr>
                <a:xfrm>
                  <a:off x="4260887" y="197240"/>
                  <a:ext cx="7350560" cy="947748"/>
                </a:xfrm>
                <a:prstGeom prst="roundRect">
                  <a:avLst/>
                </a:prstGeom>
                <a:grpFill/>
                <a:ln>
                  <a:noFill/>
                </a:ln>
              </xdr:spPr>
              <xdr:style>
                <a:lnRef idx="2">
                  <a:schemeClr val="accent6"/>
                </a:lnRef>
                <a:fillRef idx="1">
                  <a:schemeClr val="lt1"/>
                </a:fillRef>
                <a:effectRef idx="0">
                  <a:schemeClr val="accent6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IN" sz="1900" b="1"/>
                </a:p>
              </xdr:txBody>
            </xdr:sp>
            <xdr:sp macro="" textlink="">
              <xdr:nvSpPr>
                <xdr:cNvPr id="101" name="TextBox 100">
                  <a:extLst>
                    <a:ext uri="{FF2B5EF4-FFF2-40B4-BE49-F238E27FC236}">
                      <a16:creationId xmlns:a16="http://schemas.microsoft.com/office/drawing/2014/main" id="{19D3BD5D-B292-99C8-8CE3-60116D419A81}"/>
                    </a:ext>
                  </a:extLst>
                </xdr:cNvPr>
                <xdr:cNvSpPr txBox="1"/>
              </xdr:nvSpPr>
              <xdr:spPr>
                <a:xfrm>
                  <a:off x="4330298" y="306629"/>
                  <a:ext cx="7225821" cy="164206"/>
                </a:xfrm>
                <a:prstGeom prst="round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none" rtlCol="0" anchor="ctr" anchorCtr="0"/>
                <a:lstStyle/>
                <a:p>
                  <a:pPr algn="ctr"/>
                  <a:r>
                    <a:rPr lang="en-IN" sz="1200" b="1">
                      <a:solidFill>
                        <a:schemeClr val="bg1"/>
                      </a:solidFill>
                      <a:latin typeface="Consolas" panose="020B0609020204030204" pitchFamily="49" charset="0"/>
                      <a:ea typeface="Verdana" panose="020B0604030504040204" pitchFamily="34" charset="0"/>
                      <a:cs typeface="Cascadia Code" panose="020B0609020000020004" pitchFamily="49" charset="0"/>
                    </a:rPr>
                    <a:t>Total Buses</a:t>
                  </a:r>
                </a:p>
              </xdr:txBody>
            </xdr:sp>
          </xdr:grpSp>
          <xdr:sp macro="" textlink="'Analysis Sheet'!$F$17">
            <xdr:nvSpPr>
              <xdr:cNvPr id="98" name="TextBox 97">
                <a:extLst>
                  <a:ext uri="{FF2B5EF4-FFF2-40B4-BE49-F238E27FC236}">
                    <a16:creationId xmlns:a16="http://schemas.microsoft.com/office/drawing/2014/main" id="{AD352AFD-118C-588E-F3CA-A9C2F39D22A1}"/>
                  </a:ext>
                </a:extLst>
              </xdr:cNvPr>
              <xdr:cNvSpPr txBox="1"/>
            </xdr:nvSpPr>
            <xdr:spPr>
              <a:xfrm>
                <a:off x="6875728" y="1461882"/>
                <a:ext cx="2209578" cy="572402"/>
              </a:xfrm>
              <a:prstGeom prst="roundRect">
                <a:avLst/>
              </a:prstGeom>
              <a:solidFill>
                <a:schemeClr val="tx2">
                  <a:lumMod val="60000"/>
                  <a:lumOff val="4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ctr" anchorCtr="0"/>
              <a:lstStyle/>
              <a:p>
                <a:pPr marL="0" indent="0" algn="ctr"/>
                <a:fld id="{F605DFE6-8347-4EBD-8FC8-7C5317A3F66C}" type="TxLink">
                  <a:rPr lang="en-US" sz="4000" b="1" i="0" u="none" strike="noStrike">
                    <a:solidFill>
                      <a:srgbClr val="000000"/>
                    </a:solidFill>
                    <a:latin typeface="Consolas" panose="020B0609020204030204" pitchFamily="49" charset="0"/>
                    <a:ea typeface="Calibri"/>
                    <a:cs typeface="Calibri"/>
                  </a:rPr>
                  <a:pPr marL="0" indent="0" algn="ctr"/>
                  <a:t>40</a:t>
                </a:fld>
                <a:endParaRPr lang="en-IN" sz="4000" b="1" i="0" u="none" strike="noStrike">
                  <a:solidFill>
                    <a:schemeClr val="tx1">
                      <a:lumMod val="95000"/>
                      <a:lumOff val="5000"/>
                    </a:schemeClr>
                  </a:solidFill>
                  <a:latin typeface="Consolas" panose="020B0609020204030204" pitchFamily="49" charset="0"/>
                  <a:ea typeface="Calibri"/>
                  <a:cs typeface="Calibri"/>
                </a:endParaRPr>
              </a:p>
            </xdr:txBody>
          </xdr:sp>
        </xdr:grpSp>
        <xdr:sp macro="" textlink="">
          <xdr:nvSpPr>
            <xdr:cNvPr id="107" name="Rectangle: Rounded Corners 1">
              <a:extLst>
                <a:ext uri="{FF2B5EF4-FFF2-40B4-BE49-F238E27FC236}">
                  <a16:creationId xmlns:a16="http://schemas.microsoft.com/office/drawing/2014/main" id="{BC9B911A-426D-4A84-9F16-0BF370286804}"/>
                </a:ext>
              </a:extLst>
            </xdr:cNvPr>
            <xdr:cNvSpPr/>
          </xdr:nvSpPr>
          <xdr:spPr>
            <a:xfrm>
              <a:off x="16601328" y="944280"/>
              <a:ext cx="2902471" cy="1968807"/>
            </a:xfrm>
            <a:prstGeom prst="roundRect">
              <a:avLst>
                <a:gd name="adj" fmla="val 6418"/>
              </a:avLst>
            </a:prstGeom>
            <a:solidFill>
              <a:schemeClr val="tx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900" b="1"/>
            </a:p>
          </xdr:txBody>
        </xdr:sp>
      </xdr:grpSp>
    </xdr:grpSp>
    <xdr:clientData/>
  </xdr:twoCellAnchor>
  <xdr:twoCellAnchor>
    <xdr:from>
      <xdr:col>27</xdr:col>
      <xdr:colOff>189298</xdr:colOff>
      <xdr:row>14</xdr:row>
      <xdr:rowOff>168406</xdr:rowOff>
    </xdr:from>
    <xdr:to>
      <xdr:col>31</xdr:col>
      <xdr:colOff>450264</xdr:colOff>
      <xdr:row>19</xdr:row>
      <xdr:rowOff>105761</xdr:rowOff>
    </xdr:to>
    <xdr:sp macro="" textlink="">
      <xdr:nvSpPr>
        <xdr:cNvPr id="123" name="Rectangle: Rounded Corners 1">
          <a:extLst>
            <a:ext uri="{FF2B5EF4-FFF2-40B4-BE49-F238E27FC236}">
              <a16:creationId xmlns:a16="http://schemas.microsoft.com/office/drawing/2014/main" id="{31BA8239-76A1-FDFD-0E67-8D6075D3968F}"/>
            </a:ext>
          </a:extLst>
        </xdr:cNvPr>
        <xdr:cNvSpPr/>
      </xdr:nvSpPr>
      <xdr:spPr>
        <a:xfrm>
          <a:off x="16715954" y="2042176"/>
          <a:ext cx="2709359" cy="87424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900" b="1"/>
        </a:p>
      </xdr:txBody>
    </xdr:sp>
    <xdr:clientData/>
  </xdr:twoCellAnchor>
  <xdr:twoCellAnchor>
    <xdr:from>
      <xdr:col>27</xdr:col>
      <xdr:colOff>185505</xdr:colOff>
      <xdr:row>9</xdr:row>
      <xdr:rowOff>133680</xdr:rowOff>
    </xdr:from>
    <xdr:to>
      <xdr:col>31</xdr:col>
      <xdr:colOff>446471</xdr:colOff>
      <xdr:row>14</xdr:row>
      <xdr:rowOff>71036</xdr:rowOff>
    </xdr:to>
    <xdr:sp macro="" textlink="">
      <xdr:nvSpPr>
        <xdr:cNvPr id="126" name="Rectangle: Rounded Corners 1">
          <a:extLst>
            <a:ext uri="{FF2B5EF4-FFF2-40B4-BE49-F238E27FC236}">
              <a16:creationId xmlns:a16="http://schemas.microsoft.com/office/drawing/2014/main" id="{93B40B78-E1B3-BE57-CB05-D48828860D20}"/>
            </a:ext>
          </a:extLst>
        </xdr:cNvPr>
        <xdr:cNvSpPr/>
      </xdr:nvSpPr>
      <xdr:spPr>
        <a:xfrm>
          <a:off x="16712161" y="1070565"/>
          <a:ext cx="2709359" cy="874241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900" b="1"/>
        </a:p>
      </xdr:txBody>
    </xdr:sp>
    <xdr:clientData/>
  </xdr:twoCellAnchor>
  <xdr:twoCellAnchor>
    <xdr:from>
      <xdr:col>28</xdr:col>
      <xdr:colOff>70419</xdr:colOff>
      <xdr:row>10</xdr:row>
      <xdr:rowOff>45661</xdr:rowOff>
    </xdr:from>
    <xdr:to>
      <xdr:col>30</xdr:col>
      <xdr:colOff>561556</xdr:colOff>
      <xdr:row>11</xdr:row>
      <xdr:rowOff>84252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4ED3ADE7-0B83-4C19-B1EC-FF3F57E5FB46}"/>
            </a:ext>
          </a:extLst>
        </xdr:cNvPr>
        <xdr:cNvSpPr txBox="1"/>
      </xdr:nvSpPr>
      <xdr:spPr>
        <a:xfrm>
          <a:off x="17209173" y="1169923"/>
          <a:ext cx="1715334" cy="225968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/>
        <a:lstStyle/>
        <a:p>
          <a:pPr algn="ctr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Consolas" panose="020B0609020204030204" pitchFamily="49" charset="0"/>
              <a:ea typeface="Verdana" panose="020B0604030504040204" pitchFamily="34" charset="0"/>
              <a:cs typeface="Cascadia Code" panose="020B0609020000020004" pitchFamily="49" charset="0"/>
            </a:rPr>
            <a:t>Total</a:t>
          </a:r>
          <a:r>
            <a:rPr lang="en-IN" sz="1200" b="1" baseline="0">
              <a:solidFill>
                <a:schemeClr val="tx1">
                  <a:lumMod val="85000"/>
                  <a:lumOff val="15000"/>
                </a:schemeClr>
              </a:solidFill>
              <a:latin typeface="Consolas" panose="020B0609020204030204" pitchFamily="49" charset="0"/>
              <a:ea typeface="Verdana" panose="020B0604030504040204" pitchFamily="34" charset="0"/>
              <a:cs typeface="Cascadia Code" panose="020B0609020000020004" pitchFamily="49" charset="0"/>
            </a:rPr>
            <a:t> Day Commuters</a:t>
          </a:r>
          <a:endParaRPr lang="en-IN" sz="1200" b="1">
            <a:solidFill>
              <a:schemeClr val="tx1">
                <a:lumMod val="85000"/>
                <a:lumOff val="15000"/>
              </a:schemeClr>
            </a:solidFill>
            <a:latin typeface="Consolas" panose="020B0609020204030204" pitchFamily="49" charset="0"/>
            <a:ea typeface="Verdana" panose="020B0604030504040204" pitchFamily="34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28</xdr:col>
      <xdr:colOff>14900</xdr:colOff>
      <xdr:row>15</xdr:row>
      <xdr:rowOff>61143</xdr:rowOff>
    </xdr:from>
    <xdr:to>
      <xdr:col>31</xdr:col>
      <xdr:colOff>12563</xdr:colOff>
      <xdr:row>16</xdr:row>
      <xdr:rowOff>95754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FBB56D2-6AEB-4D73-A77D-72C4759AEC6F}"/>
            </a:ext>
          </a:extLst>
        </xdr:cNvPr>
        <xdr:cNvSpPr txBox="1"/>
      </xdr:nvSpPr>
      <xdr:spPr>
        <a:xfrm>
          <a:off x="17153654" y="2122291"/>
          <a:ext cx="1833958" cy="221988"/>
        </a:xfrm>
        <a:prstGeom prst="round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/>
        <a:lstStyle/>
        <a:p>
          <a:pPr algn="ctr"/>
          <a:r>
            <a:rPr lang="en-IN" sz="1200" b="1">
              <a:solidFill>
                <a:schemeClr val="tx1">
                  <a:lumMod val="85000"/>
                  <a:lumOff val="15000"/>
                </a:schemeClr>
              </a:solidFill>
              <a:latin typeface="Consolas" panose="020B0609020204030204" pitchFamily="49" charset="0"/>
              <a:ea typeface="Verdana" panose="020B0604030504040204" pitchFamily="34" charset="0"/>
              <a:cs typeface="Cascadia Code" panose="020B0609020000020004" pitchFamily="49" charset="0"/>
            </a:rPr>
            <a:t>Total</a:t>
          </a:r>
          <a:r>
            <a:rPr lang="en-IN" sz="1200" b="1" baseline="0">
              <a:solidFill>
                <a:schemeClr val="tx1">
                  <a:lumMod val="85000"/>
                  <a:lumOff val="15000"/>
                </a:schemeClr>
              </a:solidFill>
              <a:latin typeface="Consolas" panose="020B0609020204030204" pitchFamily="49" charset="0"/>
              <a:ea typeface="Verdana" panose="020B0604030504040204" pitchFamily="34" charset="0"/>
              <a:cs typeface="Cascadia Code" panose="020B0609020000020004" pitchFamily="49" charset="0"/>
            </a:rPr>
            <a:t> Night Commuters</a:t>
          </a:r>
          <a:endParaRPr lang="en-IN" sz="1200" b="1">
            <a:solidFill>
              <a:schemeClr val="tx1">
                <a:lumMod val="85000"/>
                <a:lumOff val="15000"/>
              </a:schemeClr>
            </a:solidFill>
            <a:latin typeface="Consolas" panose="020B0609020204030204" pitchFamily="49" charset="0"/>
            <a:ea typeface="Verdana" panose="020B0604030504040204" pitchFamily="34" charset="0"/>
            <a:cs typeface="Cascadia Code" panose="020B0609020000020004" pitchFamily="49" charset="0"/>
          </a:endParaRPr>
        </a:p>
      </xdr:txBody>
    </xdr:sp>
    <xdr:clientData/>
  </xdr:twoCellAnchor>
  <xdr:twoCellAnchor>
    <xdr:from>
      <xdr:col>28</xdr:col>
      <xdr:colOff>154030</xdr:colOff>
      <xdr:row>11</xdr:row>
      <xdr:rowOff>31307</xdr:rowOff>
    </xdr:from>
    <xdr:to>
      <xdr:col>30</xdr:col>
      <xdr:colOff>477945</xdr:colOff>
      <xdr:row>14</xdr:row>
      <xdr:rowOff>16807</xdr:rowOff>
    </xdr:to>
    <xdr:sp macro="" textlink="'Analysis Sheet'!D66">
      <xdr:nvSpPr>
        <xdr:cNvPr id="166" name="TextBox 165">
          <a:extLst>
            <a:ext uri="{FF2B5EF4-FFF2-40B4-BE49-F238E27FC236}">
              <a16:creationId xmlns:a16="http://schemas.microsoft.com/office/drawing/2014/main" id="{9091224B-F0B7-4FCA-8B5D-E1AB742106CB}"/>
            </a:ext>
          </a:extLst>
        </xdr:cNvPr>
        <xdr:cNvSpPr txBox="1"/>
      </xdr:nvSpPr>
      <xdr:spPr>
        <a:xfrm>
          <a:off x="17292784" y="1342946"/>
          <a:ext cx="1548112" cy="547631"/>
        </a:xfrm>
        <a:prstGeom prst="roundRect">
          <a:avLst>
            <a:gd name="adj" fmla="val 34582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/>
        <a:lstStyle/>
        <a:p>
          <a:pPr marL="0" indent="0" algn="ctr"/>
          <a:fld id="{988294EA-3CF3-4E4B-9B54-B3B6EC332BE6}" type="TxLink">
            <a:rPr lang="en-US" sz="2800" b="1" i="0" u="none" strike="noStrike">
              <a:solidFill>
                <a:srgbClr val="000000"/>
              </a:solidFill>
              <a:latin typeface="Consolas" panose="020B0609020204030204" pitchFamily="49" charset="0"/>
              <a:ea typeface="Calibri"/>
              <a:cs typeface="Calibri"/>
            </a:rPr>
            <a:pPr marL="0" indent="0" algn="ctr"/>
            <a:t>63.25%</a:t>
          </a:fld>
          <a:endParaRPr lang="en-IN" sz="2800" b="1" i="0" u="none" strike="noStrike">
            <a:solidFill>
              <a:srgbClr val="000000"/>
            </a:solidFill>
            <a:latin typeface="Consolas" panose="020B0609020204030204" pitchFamily="49" charset="0"/>
            <a:ea typeface="Calibri"/>
            <a:cs typeface="Calibri"/>
          </a:endParaRPr>
        </a:p>
      </xdr:txBody>
    </xdr:sp>
    <xdr:clientData/>
  </xdr:twoCellAnchor>
  <xdr:twoCellAnchor>
    <xdr:from>
      <xdr:col>28</xdr:col>
      <xdr:colOff>162173</xdr:colOff>
      <xdr:row>16</xdr:row>
      <xdr:rowOff>46294</xdr:rowOff>
    </xdr:from>
    <xdr:to>
      <xdr:col>30</xdr:col>
      <xdr:colOff>477389</xdr:colOff>
      <xdr:row>19</xdr:row>
      <xdr:rowOff>31794</xdr:rowOff>
    </xdr:to>
    <xdr:sp macro="" textlink="'Analysis Sheet'!D67">
      <xdr:nvSpPr>
        <xdr:cNvPr id="167" name="TextBox 166">
          <a:extLst>
            <a:ext uri="{FF2B5EF4-FFF2-40B4-BE49-F238E27FC236}">
              <a16:creationId xmlns:a16="http://schemas.microsoft.com/office/drawing/2014/main" id="{A9724DEE-F80B-4EFD-ADD9-6E2E97430B86}"/>
            </a:ext>
          </a:extLst>
        </xdr:cNvPr>
        <xdr:cNvSpPr txBox="1"/>
      </xdr:nvSpPr>
      <xdr:spPr>
        <a:xfrm>
          <a:off x="17300927" y="2294819"/>
          <a:ext cx="1539413" cy="547631"/>
        </a:xfrm>
        <a:prstGeom prst="roundRect">
          <a:avLst>
            <a:gd name="adj" fmla="val 34582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/>
        <a:lstStyle/>
        <a:p>
          <a:pPr marL="0" indent="0" algn="ctr"/>
          <a:fld id="{33BE2A36-629C-4742-B9A2-522246235366}" type="TxLink">
            <a:rPr lang="en-US" sz="2800" b="1" i="0" u="none" strike="noStrike">
              <a:solidFill>
                <a:srgbClr val="000000"/>
              </a:solidFill>
              <a:latin typeface="Consolas" panose="020B0609020204030204" pitchFamily="49" charset="0"/>
              <a:ea typeface="Calibri"/>
              <a:cs typeface="Calibri"/>
            </a:rPr>
            <a:pPr marL="0" indent="0" algn="ctr"/>
            <a:t>36.75%</a:t>
          </a:fld>
          <a:endParaRPr lang="en-IN" sz="5400" b="1" i="0" u="none" strike="noStrike">
            <a:solidFill>
              <a:srgbClr val="000000"/>
            </a:solidFill>
            <a:latin typeface="Consolas" panose="020B0609020204030204" pitchFamily="49" charset="0"/>
            <a:ea typeface="Calibri"/>
            <a:cs typeface="Calibri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27777775" createdVersion="8" refreshedVersion="8" minRefreshableVersion="3" recordCount="0" supportSubquery="1" supportAdvancedDrill="1" xr:uid="{7FB8F027-A9FB-487F-8751-935E3D937C7D}">
  <cacheSource type="external" connectionId="7"/>
  <cacheFields count="4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29513891" createdVersion="8" refreshedVersion="8" minRefreshableVersion="3" recordCount="0" supportSubquery="1" supportAdvancedDrill="1" xr:uid="{07121F96-2DC5-422F-B14F-57A971CEC4DC}">
  <cacheSource type="external" connectionId="7"/>
  <cacheFields count="2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32754632" createdVersion="8" refreshedVersion="8" minRefreshableVersion="3" recordCount="0" supportSubquery="1" supportAdvancedDrill="1" xr:uid="{8DC8FFD3-E776-42FC-87A4-D512B893BF6D}">
  <cacheSource type="external" connectionId="7"/>
  <cacheFields count="5"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  <cacheField name="[Fact_ridership].[UtilizationType].[UtilizationType]" caption="UtilizationType" numFmtId="0" hierarchy="34" level="1">
      <sharedItems count="3">
        <s v="Over-Utilized"/>
        <s v="Under-Utilized"/>
        <s v="Well-Utilized"/>
      </sharedItems>
    </cacheField>
    <cacheField name="[Measures].[Total Buses]" caption="Total Buses" numFmtId="0" hierarchy="54" level="32767"/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2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1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2" memberValueDatatype="130" unbalanced="0">
      <fieldsUsage count="2">
        <fieldUsage x="-1"/>
        <fieldUsage x="3"/>
      </fieldsUsage>
    </cacheHierarchy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/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4"/>
      </fieldsUsage>
    </cacheHierarchy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34490741" createdVersion="8" refreshedVersion="8" minRefreshableVersion="3" recordCount="0" supportSubquery="1" supportAdvancedDrill="1" xr:uid="{4D2E970B-4060-45DE-B893-FF3719E0CB4D}">
  <cacheSource type="external" connectionId="7"/>
  <cacheFields count="3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4">
        <s v="10 AM - 3 PM"/>
        <s v="3 PM - 8 PM"/>
        <s v="5 AM - 10 AM"/>
        <s v="8 PM - 12 AM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35995372" createdVersion="8" refreshedVersion="8" minRefreshableVersion="3" recordCount="0" supportSubquery="1" supportAdvancedDrill="1" xr:uid="{DA30E172-01D2-454D-BEB1-87785FD45D80}">
  <cacheSource type="external" connectionId="7"/>
  <cacheFields count="5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  <cacheField name="[Dim_datetable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table].[Year].&amp;[2023]"/>
            <x15:cachedUniqueName index="1" name="[Dim_datetable].[Year].&amp;[2024]"/>
          </x15:cachedUniqueNames>
        </ext>
      </extLst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2" memberValueDatatype="20" unbalanced="0">
      <fieldsUsage count="2">
        <fieldUsage x="-1"/>
        <fieldUsage x="4"/>
      </fieldsUsage>
    </cacheHierarchy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37384258" createdVersion="8" refreshedVersion="8" minRefreshableVersion="3" recordCount="0" supportSubquery="1" supportAdvancedDrill="1" xr:uid="{86EBB30D-4346-4C5F-9552-350FCD60CE7E}">
  <cacheSource type="external" connectionId="7"/>
  <cacheFields count="2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South Line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38657405" createdVersion="8" refreshedVersion="8" minRefreshableVersion="3" recordCount="0" supportSubquery="1" supportAdvancedDrill="1" xr:uid="{F2F63B5A-6096-4F1B-8965-46CB9F2696E2}">
  <cacheSource type="external" connectionId="7"/>
  <cacheFields count="4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0046298" createdVersion="8" refreshedVersion="8" minRefreshableVersion="3" recordCount="0" supportSubquery="1" supportAdvancedDrill="1" xr:uid="{B0AC7FC4-97F2-4174-B2DD-13B8F090099F}">
  <cacheSource type="external" connectionId="7"/>
  <cacheFields count="2">
    <cacheField name="[Measures].[Total Riders (Measure)]" caption="Total Riders (Measure)" numFmtId="0" hierarchy="52" level="32767"/>
    <cacheField name="[Measures].[Commuters per Trip (Measure)]" caption="Commuters per Trip (Measure)" numFmtId="0" hierarchy="53" level="32767"/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 oneField="1">
      <fieldsUsage count="1">
        <fieldUsage x="1"/>
      </fieldsUsage>
    </cacheHierarchy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1435184" createdVersion="8" refreshedVersion="8" minRefreshableVersion="3" recordCount="0" supportSubquery="1" supportAdvancedDrill="1" xr:uid="{CFF1B4D0-17D5-40D2-BAF4-6E92A47C8BDC}">
  <cacheSource type="external" connectionId="7"/>
  <cacheFields count="5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0">
        <s v="Airport Express"/>
        <s v="Beachfront Route"/>
        <s v="Central Line"/>
        <s v="City Shuttle"/>
        <s v="East-West Express"/>
        <s v="Market Line"/>
        <s v="North Circular"/>
        <s v="South Line"/>
        <s v="Suburban Line"/>
        <s v="University Line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  <cacheField name="[Dim_demographics].[Occupation].[Occupation]" caption="Occupation" numFmtId="0" hierarchy="15" level="1">
      <sharedItems count="6">
        <s v="Other"/>
        <s v="Professional"/>
        <s v="Retired"/>
        <s v="Self-Employed"/>
        <s v="Student"/>
        <s v="Unemployed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2" memberValueDatatype="130" unbalanced="0">
      <fieldsUsage count="2">
        <fieldUsage x="-1"/>
        <fieldUsage x="4"/>
      </fieldsUsage>
    </cacheHierarchy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3171293" createdVersion="8" refreshedVersion="8" minRefreshableVersion="3" recordCount="0" supportSubquery="1" supportAdvancedDrill="1" xr:uid="{9F1532FA-A31E-4EF3-B4B4-5539EEF5BAC1}">
  <cacheSource type="external" connectionId="7"/>
  <cacheFields count="5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  <cacheField name="[Dim_datetable].[DayName].[DayName]" caption="Day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2" memberValueDatatype="130" unbalanced="0">
      <fieldsUsage count="2">
        <fieldUsage x="-1"/>
        <fieldUsage x="4"/>
      </fieldsUsage>
    </cacheHierarchy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4791663" createdVersion="8" refreshedVersion="8" minRefreshableVersion="3" recordCount="0" supportSubquery="1" supportAdvancedDrill="1" xr:uid="{41CA80CC-93DB-4A39-933C-5C3D09C0B199}">
  <cacheSource type="external" connectionId="7"/>
  <cacheFields count="4">
    <cacheField name="[Measures].[Total Riders (Measure)]" caption="Total Riders (Measure)" numFmtId="0" hierarchy="52" level="32767"/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4">
        <s v="10 AM - 3 PM"/>
        <s v="3 PM - 8 PM"/>
        <s v="8 PM - 12 AM"/>
        <s v="5 AM - 10 AM"/>
      </sharedItems>
    </cacheField>
    <cacheField name="[Fact_ridership].[Time].[Time]" caption="Time" numFmtId="0" hierarchy="27" level="1">
      <sharedItems containsSemiMixedTypes="0" containsNonDate="0" containsDate="1" containsString="0" minDate="1899-12-30T19:50:00" maxDate="1899-12-30T19:50:00" count="1">
        <d v="1899-12-30T19:50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19:50:00]"/>
          </x15:cachedUniqueNames>
        </ext>
      </extLst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3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2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0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6064818" createdVersion="8" refreshedVersion="8" minRefreshableVersion="3" recordCount="0" supportSubquery="1" supportAdvancedDrill="1" xr:uid="{29D54593-E8F4-4383-8E18-77100CBF712D}">
  <cacheSource type="external" connectionId="7"/>
  <cacheFields count="2">
    <cacheField name="[Measures].[Total Transactions]" caption="Total Transactions" numFmtId="0" hierarchy="50" level="32767"/>
    <cacheField name="[Measures].[Average Age (Measure)]" caption="Average Age (Measure)" numFmtId="0" hierarchy="51" level="32767"/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 oneField="1">
      <fieldsUsage count="1">
        <fieldUsage x="0"/>
      </fieldsUsage>
    </cacheHierarchy>
    <cacheHierarchy uniqueName="[Measures].[Average Age (Measure)]" caption="Average Age (Measure)" measure="1" displayFolder="" measureGroup="Calculations" count="0" oneField="1">
      <fieldsUsage count="1">
        <fieldUsage x="1"/>
      </fieldsUsage>
    </cacheHierarchy>
    <cacheHierarchy uniqueName="[Measures].[Total Riders (Measure)]" caption="Total Riders (Measure)" measure="1" displayFolder="" measureGroup="Calculations" count="0"/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7569442" createdVersion="8" refreshedVersion="8" minRefreshableVersion="3" recordCount="0" supportSubquery="1" supportAdvancedDrill="1" xr:uid="{C76DB37F-6592-4C94-B726-8E0B119A8B7A}">
  <cacheSource type="external" connectionId="7"/>
  <cacheFields count="5">
    <cacheField name="[Dim_demographics].[AgeGroups].[AgeGroups]" caption="AgeGroups" numFmtId="0" hierarchy="16" level="1">
      <sharedItems count="6">
        <s v="0-19"/>
        <s v="20-29"/>
        <s v="30-39"/>
        <s v="40-49"/>
        <s v="50-59"/>
        <s v="60 and above"/>
      </sharedItems>
    </cacheField>
    <cacheField name="[Measures].[Count of RiderID]" caption="Count of RiderID" numFmtId="0" hierarchy="43" level="32767"/>
    <cacheField name="[Measures].[Total Transactions]" caption="Total Transactions" numFmtId="0" hierarchy="50" level="32767"/>
    <cacheField name="[Measures].[Count of RiderID 2]" caption="Count of RiderID 2" numFmtId="0" hierarchy="45" level="32767"/>
    <cacheField name="[Measures].[Average Age (Measure)]" caption="Average Age (Measure)" numFmtId="0" hierarchy="51" level="32767"/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2" memberValueDatatype="130" unbalanced="0">
      <fieldsUsage count="2">
        <fieldUsage x="-1"/>
        <fieldUsage x="0"/>
      </fieldsUsage>
    </cacheHierarchy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 oneField="1">
      <fieldsUsage count="1">
        <fieldUsage x="2"/>
      </fieldsUsage>
    </cacheHierarchy>
    <cacheHierarchy uniqueName="[Measures].[Average Age (Measure)]" caption="Average Age (Measure)" measure="1" displayFolder="" measureGroup="Calculations" count="0" oneField="1">
      <fieldsUsage count="1">
        <fieldUsage x="4"/>
      </fieldsUsage>
    </cacheHierarchy>
    <cacheHierarchy uniqueName="[Measures].[Total Riders (Measure)]" caption="Total Riders (Measure)" measure="1" displayFolder="" measureGroup="Calculations" count="0"/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874872685" createdVersion="8" refreshedVersion="8" minRefreshableVersion="3" recordCount="0" supportSubquery="1" supportAdvancedDrill="1" xr:uid="{C872CC22-FD10-4173-BAD2-E2896B7DC1FF}">
  <cacheSource type="external" connectionId="7"/>
  <cacheFields count="2">
    <cacheField name="[Dim_routes].[RouteName].[RouteName]" caption="RouteName" numFmtId="0" hierarchy="18" level="1">
      <sharedItems count="1">
        <s v="East-West Express"/>
      </sharedItems>
    </cacheField>
    <cacheField name="[Measures].[Count of BusID]" caption="Count of BusID" numFmtId="0" hierarchy="49" level="32767"/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0" memberValueDatatype="130" unbalanced="0"/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/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07.849216435185" createdVersion="8" refreshedVersion="8" minRefreshableVersion="3" recordCount="0" supportSubquery="1" supportAdvancedDrill="1" xr:uid="{248A5DFE-16A1-417B-877C-6D8554870799}">
  <cacheSource type="external" connectionId="7"/>
  <cacheFields count="6">
    <cacheField name="[Dim_routes].[RouteName].[RouteName]" caption="RouteName" numFmtId="0" hierarchy="18" level="1">
      <sharedItems count="1">
        <s v="East-West Express"/>
      </sharedItems>
    </cacheField>
    <cacheField name="[Fact_ridership].[TimeSegment].[TimeSegment]" caption="TimeSegment" numFmtId="0" hierarchy="29" level="1">
      <sharedItems count="1">
        <s v="10 AM - 3 PM"/>
      </sharedItems>
    </cacheField>
    <cacheField name="[Fact_ridership].[Time].[Time]" caption="Time" numFmtId="0" hierarchy="27" level="1">
      <sharedItems containsSemiMixedTypes="0" containsNonDate="0" containsDate="1" containsString="0" minDate="1899-12-30T20:57:00" maxDate="1899-12-30T20:57:00" count="1">
        <d v="1899-12-30T20:57:00"/>
      </sharedItems>
      <extLst>
        <ext xmlns:x15="http://schemas.microsoft.com/office/spreadsheetml/2010/11/main" uri="{4F2E5C28-24EA-4eb8-9CBF-B6C8F9C3D259}">
          <x15:cachedUniqueNames>
            <x15:cachedUniqueName index="0" name="[Fact_ridership].[Time].&amp;[1899-12-30T20:57:00]"/>
          </x15:cachedUniqueNames>
        </ext>
      </extLst>
    </cacheField>
    <cacheField name="[Fact_ridership].[UtilizationType].[UtilizationType]" caption="UtilizationType" numFmtId="0" hierarchy="34" level="1">
      <sharedItems count="3">
        <s v="Over-Utilized"/>
        <s v="Under-Utilized"/>
        <s v="Well-Utilized"/>
      </sharedItems>
    </cacheField>
    <cacheField name="[Measures].[Total Riders (Measure)]" caption="Total Riders (Measure)" numFmtId="0" hierarchy="52" level="32767"/>
    <cacheField name="[Fact_ridership].[DayNightOperation].[DayNightOperation]" caption="DayNightOperation" numFmtId="0" hierarchy="35" level="1">
      <sharedItems count="2">
        <s v="Day"/>
        <s v="Night"/>
      </sharedItems>
    </cacheField>
  </cacheFields>
  <cacheHierarchies count="62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0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2" memberValueDatatype="7" unbalanced="0">
      <fieldsUsage count="2">
        <fieldUsage x="-1"/>
        <fieldUsage x="2"/>
      </fieldsUsage>
    </cacheHierarchy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2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2" memberValueDatatype="130" unbalanced="0">
      <fieldsUsage count="2">
        <fieldUsage x="-1"/>
        <fieldUsage x="1"/>
      </fieldsUsage>
    </cacheHierarchy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2" memberValueDatatype="130" unbalanced="0">
      <fieldsUsage count="2">
        <fieldUsage x="-1"/>
        <fieldUsage x="3"/>
      </fieldsUsage>
    </cacheHierarchy>
    <cacheHierarchy uniqueName="[Fact_ridership].[DayNightOperation]" caption="DayNightOperation" attribute="1" defaultMemberUniqueName="[Fact_ridership].[DayNightOperation].[All]" allUniqueName="[Fact_ridership].[DayNightOperation].[All]" dimensionUniqueName="[Fact_ridership]" displayFolder="" count="2" memberValueDatatype="130" unbalanced="0">
      <fieldsUsage count="2">
        <fieldUsage x="-1"/>
        <fieldUsage x="5"/>
      </fieldsUsage>
    </cacheHierarchy>
    <cacheHierarchy uniqueName="[Fact_ridership].[Time (Hour)]" caption="Time (Hour)" attribute="1" defaultMemberUniqueName="[Fact_ridership].[Time (Hour)].[All]" allUniqueName="[Fact_ridership].[Time (Hour)].[All]" dimensionUniqueName="[Fact_ridership]" displayFolder="" count="0" memberValueDatatype="130" unbalanced="0"/>
    <cacheHierarchy uniqueName="[Fact_ridership].[Time (Minute)]" caption="Time (Minute)" attribute="1" defaultMemberUniqueName="[Fact_ridership].[Time (Minute)].[All]" allUniqueName="[Fact_ridership].[Time (Minute)].[All]" dimensionUniqueName="[Fact_ridership]" displayFolder="" count="0" memberValueDatatype="130" unbalanced="0"/>
    <cacheHierarchy uniqueName="[Measures].[Sum of RecordID]" caption="Sum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Age]" caption="Count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RiderID]" caption="Sum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iderID]" caption="Count of RiderID" measure="1" displayFolder="" measureGroup="Dim_demographic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iderID 2]" caption="Sum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RiderID 2]" caption="Count of RiderID 2" measure="1" displayFolder="" measureGroup="Fact_ridership" count="0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ripFee]" caption="Sum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TripFee]" caption="Average of TripFee" measure="1" displayFolder="" measureGroup="Dim_route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BusID]" caption="Sum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sID]" caption="Count of BusID" measure="1" displayFolder="" measureGroup="Dim_bus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Transactions]" caption="Total Transactions" measure="1" displayFolder="" measureGroup="Calculations" count="0"/>
    <cacheHierarchy uniqueName="[Measures].[Average Age (Measure)]" caption="Average Age (Measure)" measure="1" displayFolder="" measureGroup="Calculations" count="0"/>
    <cacheHierarchy uniqueName="[Measures].[Total Riders (Measure)]" caption="Total Riders (Measure)" measure="1" displayFolder="" measureGroup="Calculations" count="0" oneField="1">
      <fieldsUsage count="1">
        <fieldUsage x="4"/>
      </fieldsUsage>
    </cacheHierarchy>
    <cacheHierarchy uniqueName="[Measures].[Commuters per Trip (Measure)]" caption="Commuters per Trip (Measure)" measure="1" displayFolder="" measureGroup="Calculations" count="0"/>
    <cacheHierarchy uniqueName="[Measures].[Total Buses]" caption="Total Buses" measure="1" displayFolder="" measureGroup="Calculations" count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EBDEB-3580-406F-BBBA-847FF4464948}" name="PivotTable5" cacheId="5" applyNumberFormats="0" applyBorderFormats="0" applyFontFormats="0" applyPatternFormats="0" applyAlignmentFormats="0" applyWidthHeightFormats="1" dataCaption="Values" missingCaption="0" tag="3a74132d-3df3-43a5-b212-bd66b11f4fbd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C19:D20" firstHeaderRow="1" firstDataRow="1" firstDataCol="1"/>
  <pivotFields count="2">
    <pivotField dataField="1" compact="0" subtotalTop="0" showAll="0" defaultSubtotal="0"/>
    <pivotField name="Least Busiest Route" axis="axisRow" compact="0" allDrilled="1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formats count="2"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52">
      <autoFilter ref="A1">
        <filterColumn colId="0">
          <top10 top="0"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55754-40A4-48AC-AC4A-A2A35BFEB3BB}" name="PivotTable10" cacheId="6" applyNumberFormats="0" applyBorderFormats="0" applyFontFormats="0" applyPatternFormats="0" applyAlignmentFormats="0" applyWidthHeightFormats="1" dataCaption="Values" missingCaption="0" tag="9a01dd3f-7ff8-42da-8192-7db7c38e8925" updatedVersion="8" minRefreshableVersion="3" useAutoFormatting="1" subtotalHiddenItems="1" rowGrandTotals="0" itemPrintTitles="1" createdVersion="8" indent="0" compact="0" outline="1" outlineData="1" compactData="0" multipleFieldFilters="0" chartFormat="33" rowHeaderCaption="Age Groups">
  <location ref="F21:F22" firstHeaderRow="1" firstDataRow="1" firstDataCol="0"/>
  <pivotFields count="4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</pivotFields>
  <rowItems count="1">
    <i/>
  </rowItems>
  <colItems count="1">
    <i/>
  </colItems>
  <dataFields count="1">
    <dataField fld="0" subtotal="count" baseField="0" baseItem="0"/>
  </dataFields>
  <formats count="3">
    <format dxfId="6">
      <pivotArea field="1" type="button" dataOnly="0" labelOnly="1" outline="0"/>
    </format>
    <format dxfId="5">
      <pivotArea dataOnly="0" labelOnly="1" outline="0" axis="axisValues" fieldPosition="0"/>
    </format>
    <format dxfId="4">
      <pivotArea field="2" type="button" dataOnly="0" labelOnly="1" outline="0"/>
    </format>
  </format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1" type="count" id="1" iMeasureHier="52">
      <autoFilter ref="A1">
        <filterColumn colId="0">
          <top10 val="1" filterVal="1"/>
        </filterColumn>
      </autoFilter>
    </filter>
    <filter fld="2" type="count" id="2" iMeasureHier="52">
      <autoFilter ref="A1">
        <filterColumn colId="0">
          <top10 val="1" filterVal="1"/>
        </filterColumn>
      </autoFilter>
    </filter>
    <filter fld="3" type="count" id="4" iMeasureHier="52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A78B3-D82E-461B-A6FA-9CC8F8E0CA17}" name="PivotTable17" cacheId="2" applyNumberFormats="0" applyBorderFormats="0" applyFontFormats="0" applyPatternFormats="0" applyAlignmentFormats="0" applyWidthHeightFormats="1" dataCaption="Values" missingCaption="0" tag="1a609bb8-5fcf-4185-91f4-f4d21ae289bc" updatedVersion="8" minRefreshableVersion="3" useAutoFormatting="1" subtotalHiddenItems="1" rowGrandTotals="0" itemPrintTitles="1" createdVersion="8" indent="0" compact="0" outline="1" outlineData="1" compactData="0" multipleFieldFilters="0" chartFormat="33" rowHeaderCaption="Age Groups">
  <location ref="C59:D62" firstHeaderRow="1" firstDataRow="1" firstDataCol="1"/>
  <pivotFields count="5"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  <pivotField name="Bus Utilization During Trip" axis="axisRow" compact="0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subtotalTop="0" showAll="0" defaultSubtota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Total Buses Trips" fld="4" subtotal="count" baseField="0" baseItem="0"/>
  </dataFields>
  <formats count="4">
    <format dxfId="10">
      <pivotArea field="0" type="button" dataOnly="0" labelOnly="1" outline="0"/>
    </format>
    <format dxfId="9">
      <pivotArea dataOnly="0" labelOnly="1" outline="0" axis="axisValues" fieldPosition="0"/>
    </format>
    <format dxfId="8">
      <pivotArea field="1" type="button" dataOnly="0" labelOnly="1" outline="0"/>
    </format>
    <format dxfId="7">
      <pivotArea field="3" type="button" dataOnly="0" labelOnly="1" outline="0" axis="axisRow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Buses Trip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0" type="count" id="1" iMeasureHier="52">
      <autoFilter ref="A1">
        <filterColumn colId="0">
          <top10 val="1" filterVal="1"/>
        </filterColumn>
      </autoFilter>
    </filter>
    <filter fld="1" type="count" id="2" iMeasureHier="52">
      <autoFilter ref="A1">
        <filterColumn colId="0">
          <top10 val="1" filterVal="1"/>
        </filterColumn>
      </autoFilter>
    </filter>
    <filter fld="2" type="count" id="4" iMeasureHier="52">
      <autoFilter ref="A1">
        <filterColumn colId="0">
          <top10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9F1B1-B2CE-4517-827A-4A846D53E043}" name="PivotTable8" cacheId="4" applyNumberFormats="0" applyBorderFormats="0" applyFontFormats="0" applyPatternFormats="0" applyAlignmentFormats="0" applyWidthHeightFormats="1" dataCaption="Values" missingCaption="0" tag="f9da14fa-da7d-4c68-809a-af03a10246f2" updatedVersion="8" minRefreshableVersion="3" useAutoFormatting="1" subtotalHiddenItems="1" rowGrandTotals="0" itemPrintTitles="1" createdVersion="8" indent="0" compact="0" outline="1" outlineData="1" compactData="0" multipleFieldFilters="0" chartFormat="45" rowHeaderCaption="Age Groups">
  <location ref="C34:D36" firstHeaderRow="1" firstDataRow="1" firstDataCol="1"/>
  <pivotFields count="5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  <pivotField axis="axisRow" compact="0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Total Riders" fld="0" subtotal="count" baseField="4" baseItem="0"/>
  </dataFields>
  <formats count="4">
    <format dxfId="14">
      <pivotArea field="1" type="button" dataOnly="0" labelOnly="1" outline="0"/>
    </format>
    <format dxfId="13">
      <pivotArea dataOnly="0" labelOnly="1" outline="0" axis="axisValues" fieldPosition="0"/>
    </format>
    <format dxfId="12">
      <pivotArea field="4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 caption="YoY% Chang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1" type="count" id="1" iMeasureHier="52">
      <autoFilter ref="A1">
        <filterColumn colId="0">
          <top10 val="1" filterVal="1"/>
        </filterColumn>
      </autoFilter>
    </filter>
    <filter fld="2" type="count" id="2" iMeasureHier="52">
      <autoFilter ref="A1">
        <filterColumn colId="0">
          <top10 val="1" filterVal="1"/>
        </filterColumn>
      </autoFilter>
    </filter>
    <filter fld="3" type="count" id="4" iMeasureHier="52">
      <autoFilter ref="A1">
        <filterColumn colId="0">
          <top10 val="1" filterVal="1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C101-04D1-44AE-A42B-F425CAB386F3}" name="PivotTable4" cacheId="1" applyNumberFormats="0" applyBorderFormats="0" applyFontFormats="0" applyPatternFormats="0" applyAlignmentFormats="0" applyWidthHeightFormats="1" dataCaption="Values" missingCaption="0" tag="2a0c46c6-c148-4760-9e1c-b0104c9e6e81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C16:D17" firstHeaderRow="1" firstDataRow="1" firstDataCol="1"/>
  <pivotFields count="2">
    <pivotField dataField="1" compact="0" subtotalTop="0" showAll="0" defaultSubtotal="0"/>
    <pivotField name="Busiest Route" axis="axisRow" compact="0" allDrilled="1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formats count="2">
    <format dxfId="16">
      <pivotArea field="1" type="button" dataOnly="0" labelOnly="1" outline="0" axis="axisRow" fieldPosition="0"/>
    </format>
    <format dxfId="15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C9ADB-21FB-4174-97FF-BA045CB72C95}" name="PivotTable7" cacheId="0" applyNumberFormats="0" applyBorderFormats="0" applyFontFormats="0" applyPatternFormats="0" applyAlignmentFormats="0" applyWidthHeightFormats="1" dataCaption="Values" missingCaption="0" tag="f81e87e7-baea-48de-9faa-8fe9ff2e463c" updatedVersion="8" minRefreshableVersion="3" useAutoFormatting="1" subtotalHiddenItems="1" rowGrandTotals="0" itemPrintTitles="1" createdVersion="8" indent="0" compact="0" outline="1" outlineData="1" compactData="0" multipleFieldFilters="0" chartFormat="33" rowHeaderCaption="Age Groups">
  <location ref="C28:D29" firstHeaderRow="1" firstDataRow="1" firstDataCol="1"/>
  <pivotFields count="4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name="Peak Hour" axis="axisRow" compact="0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formats count="4">
    <format dxfId="20">
      <pivotArea field="1" type="button" dataOnly="0" labelOnly="1" outline="0"/>
    </format>
    <format dxfId="19">
      <pivotArea dataOnly="0" labelOnly="1" outline="0" axis="axisValues" fieldPosition="0"/>
    </format>
    <format dxfId="18">
      <pivotArea field="2" type="button" dataOnly="0" labelOnly="1" outline="0"/>
    </format>
    <format dxfId="17">
      <pivotArea field="3" type="button" dataOnly="0" labelOnly="1" outline="0" axis="axisRow" fieldPosition="0"/>
    </format>
  </format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eak Hour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3" type="count" id="4" iMeasureHier="52">
      <autoFilter ref="A1">
        <filterColumn colId="0">
          <top10 val="1" filterVal="1"/>
        </filterColumn>
      </autoFilter>
    </filter>
    <filter fld="1" type="count" id="1" iMeasureHier="52">
      <autoFilter ref="A1">
        <filterColumn colId="0">
          <top10 val="1" filterVal="1"/>
        </filterColumn>
      </autoFilter>
    </filter>
    <filter fld="2" type="count" id="2" iMeasureHier="52">
      <autoFilter ref="A1">
        <filterColumn colId="0">
          <top10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1CA12-46A3-4E08-895F-E511580852C3}" name="PivotTable12" cacheId="8" applyNumberFormats="0" applyBorderFormats="0" applyFontFormats="0" applyPatternFormats="0" applyAlignmentFormats="0" applyWidthHeightFormats="1" dataCaption="Values" missingCaption="0" tag="3d7b0f94-60a5-4769-82cb-f315aa05f8fa" updatedVersion="8" minRefreshableVersion="3" useAutoFormatting="1" subtotalHiddenItems="1" rowGrandTotals="0" itemPrintTitles="1" createdVersion="8" indent="0" compact="0" outline="1" outlineData="1" compactData="0" multipleFieldFilters="0" chartFormat="62" rowHeaderCaption="Age Groups">
  <location ref="C51:D57" firstHeaderRow="1" firstDataRow="1" firstDataCol="1"/>
  <pivotFields count="5">
    <pivotField dataField="1" compact="0" subtotalTop="0" showAll="0" defaultSubtotal="0"/>
    <pivotField name="Busiest Route" compact="0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  <pivotField axis="axisRow" compact="0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6">
    <i>
      <x/>
    </i>
    <i>
      <x v="1"/>
    </i>
    <i>
      <x v="3"/>
    </i>
    <i>
      <x v="5"/>
    </i>
    <i>
      <x v="2"/>
    </i>
    <i>
      <x v="4"/>
    </i>
  </rowItems>
  <colItems count="1">
    <i/>
  </colItems>
  <dataFields count="1">
    <dataField name="Total Riders" fld="0" subtotal="count" baseField="0" baseItem="0" numFmtId="164"/>
  </dataFields>
  <formats count="6">
    <format dxfId="26">
      <pivotArea field="1" type="button" dataOnly="0" labelOnly="1" outline="0"/>
    </format>
    <format dxfId="25">
      <pivotArea dataOnly="0" labelOnly="1" outline="0" axis="axisValues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field="4" type="button" dataOnly="0" labelOnly="1" outline="0" axis="axisRow" fieldPosition="0"/>
    </format>
    <format dxfId="22">
      <pivotArea outline="0" collapsedLevelsAreSubtotals="1" fieldPosition="0"/>
    </format>
    <format dxfId="21">
      <pivotArea outline="0" collapsedLevelsAreSubtotals="1" fieldPosition="0"/>
    </format>
  </formats>
  <chartFormats count="7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 caption="YoY% Chang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2" iMeasureHier="52">
      <autoFilter ref="A1">
        <filterColumn colId="0">
          <top10 val="1" filterVal="1"/>
        </filterColumn>
      </autoFilter>
    </filter>
    <filter fld="3" type="count" id="4" iMeasureHier="52">
      <autoFilter ref="A1">
        <filterColumn colId="0">
          <top10 val="1" filterVal="1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  <x15:activeTabTopLevelEntity name="[Dim_datetable]"/>
        <x15:activeTabTopLevelEntity name="[Dim_b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9FC3-4801-46D8-A731-E5D64722B315}" name="PivotTable2" cacheId="12" applyNumberFormats="0" applyBorderFormats="0" applyFontFormats="0" applyPatternFormats="0" applyAlignmentFormats="0" applyWidthHeightFormats="1" dataCaption="Values" missingCaption="0" tag="955305d0-eb15-4f1f-84a7-d5a2805732ad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C2:G8" firstHeaderRow="0" firstDataRow="1" firstDataCol="1"/>
  <pivotFields count="5">
    <pivotField axis="axisRow" compact="0" allDrilled="1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subtotalTop="0" showAll="0" defaultSubtotal="0"/>
    <pivotField dataField="1" compact="0" subtotalTop="0" showAll="0" defaultSubtotal="0"/>
    <pivotField dataField="1" compact="0" subtotalTop="0" showAll="0" defaultSubtotal="0"/>
    <pivotField dataField="1" compact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Records in Demographics Table" fld="1" subtotal="count" baseField="0" baseItem="0"/>
    <dataField name="Total Records in Transaction Table" fld="3" subtotal="count" baseField="0" baseItem="0"/>
    <dataField name="Total Transactions (Measure)" fld="2" subtotal="count" baseField="0" baseItem="0"/>
    <dataField fld="4" subtotal="count" baseField="0" baseItem="0"/>
  </dataFields>
  <formats count="4">
    <format dxfId="30">
      <pivotArea field="0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im_demographics]"/>
        <x15:activeTabTopLevelEntity name="[Fact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21BB8-6A42-408E-B1C9-2FAF9FB1356A}" name="PivotTable11" cacheId="9" applyNumberFormats="0" applyBorderFormats="0" applyFontFormats="0" applyPatternFormats="0" applyAlignmentFormats="0" applyWidthHeightFormats="1" dataCaption="Values" missingCaption="0" tag="34feef61-f007-4ef4-bc53-c77adbdfb39f" updatedVersion="8" minRefreshableVersion="3" useAutoFormatting="1" subtotalHiddenItems="1" rowGrandTotals="0" itemPrintTitles="1" createdVersion="8" indent="0" compact="0" outline="1" outlineData="1" compactData="0" multipleFieldFilters="0" chartFormat="47" rowHeaderCaption="Age Groups">
  <location ref="C40:D47" firstHeaderRow="1" firstDataRow="1" firstDataCol="1"/>
  <pivotFields count="5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  <pivotField axis="axisRow" compact="0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Total Riders" fld="0" subtotal="count" baseField="0" baseItem="0"/>
  </dataFields>
  <formats count="4">
    <format dxfId="34">
      <pivotArea field="1" type="button" dataOnly="0" labelOnly="1" outline="0"/>
    </format>
    <format dxfId="33">
      <pivotArea dataOnly="0" labelOnly="1" outline="0" axis="axisValues" fieldPosition="0"/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field="4" type="button" dataOnly="0" labelOnly="1" outline="0" axis="axisRow" fieldPosition="0"/>
    </format>
  </formats>
  <chartFormats count="3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 caption="YoY% Chang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1" type="count" id="1" iMeasureHier="52">
      <autoFilter ref="A1">
        <filterColumn colId="0">
          <top10 val="1" filterVal="1"/>
        </filterColumn>
      </autoFilter>
    </filter>
    <filter fld="2" type="count" id="2" iMeasureHier="52">
      <autoFilter ref="A1">
        <filterColumn colId="0">
          <top10 val="1" filterVal="1"/>
        </filterColumn>
      </autoFilter>
    </filter>
    <filter fld="3" type="count" id="4" iMeasureHier="52">
      <autoFilter ref="A1">
        <filterColumn colId="0">
          <top10 val="1" filterVal="1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  <x15:activeTabTopLevelEntity name="[Dim_date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35E36-83DF-4EFD-B116-EE36B52015B8}" name="PivotTable14" cacheId="14" applyNumberFormats="0" applyBorderFormats="0" applyFontFormats="0" applyPatternFormats="0" applyAlignmentFormats="0" applyWidthHeightFormats="1" dataCaption="Values" missingCaption="0" tag="46403cd8-af6a-46ad-b6af-847fa1c632fb" updatedVersion="8" minRefreshableVersion="3" useAutoFormatting="1" subtotalHiddenItems="1" rowGrandTotals="0" itemPrintTitles="1" createdVersion="8" indent="0" compact="0" outline="1" outlineData="1" compactData="0" multipleFieldFilters="0" chartFormat="33" rowHeaderCaption="Age Groups">
  <location ref="C65:D67" firstHeaderRow="1" firstDataRow="1" firstDataCol="1"/>
  <pivotFields count="6"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Peak Hours" compact="0" allDrilled="1" subtotalTop="0" showAll="0" measureFilter="1" sortType="descending" defaultSubtotal="0" defaultAttributeDrillState="1">
      <items count="1">
        <item x="0"/>
      </items>
    </pivotField>
    <pivotField compact="0" allDrilled="1" subtotalTop="0" showAll="0" measureFilter="1" dataSourceSort="1" defaultSubtotal="0" defaultAttributeDrillState="1">
      <items count="1">
        <item x="0"/>
      </items>
    </pivotField>
    <pivotField name="Bus Utilization During Trip" compact="0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subtotalTop="0" showAll="0" defaultSubtotal="0"/>
    <pivotField axis="axisRow" compact="0" allDrilled="1" subtotalTop="0" showAll="0" dataSourceSort="1" defaultSubtotal="0" defaultAttributeDrillState="1">
      <items count="2">
        <item x="0"/>
        <item x="1"/>
      </items>
    </pivotField>
  </pivotFields>
  <rowFields count="1">
    <field x="5"/>
  </rowFields>
  <rowItems count="2">
    <i>
      <x/>
    </i>
    <i>
      <x v="1"/>
    </i>
  </rowItems>
  <colItems count="1">
    <i/>
  </colItems>
  <dataFields count="1">
    <dataField fld="4" subtotal="count" showDataAs="percentOfTotal" baseField="0" baseItem="0" numFmtId="10"/>
  </dataFields>
  <formats count="8">
    <format dxfId="42">
      <pivotArea field="0" type="button" dataOnly="0" labelOnly="1" outline="0"/>
    </format>
    <format dxfId="41">
      <pivotArea dataOnly="0" labelOnly="1" outline="0" axis="axisValues" fieldPosition="0"/>
    </format>
    <format dxfId="40">
      <pivotArea field="1" type="button" dataOnly="0" labelOnly="1" outline="0"/>
    </format>
    <format dxfId="39">
      <pivotArea field="3" type="button" dataOnly="0" labelOnly="1" outline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dataOnly="0" labelOnly="1" outline="0" axis="axisValues" fieldPosition="0"/>
    </format>
    <format dxfId="36">
      <pivotArea field="5" type="button" dataOnly="0" labelOnly="1" outline="0" axis="axisRow" fieldPosition="0"/>
    </format>
    <format dxfId="35">
      <pivotArea field="5" type="button" dataOnly="0" labelOnly="1" outline="0" axis="axisRow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otal Buses Trip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0" type="count" id="1" iMeasureHier="52">
      <autoFilter ref="A1">
        <filterColumn colId="0">
          <top10 val="1" filterVal="1"/>
        </filterColumn>
      </autoFilter>
    </filter>
    <filter fld="1" type="count" id="2" iMeasureHier="52">
      <autoFilter ref="A1">
        <filterColumn colId="0">
          <top10 val="1" filterVal="1"/>
        </filterColumn>
      </autoFilter>
    </filter>
    <filter fld="2" type="count" id="4" iMeasureHier="52">
      <autoFilter ref="A1">
        <filterColumn colId="0">
          <top10 val="1" filterVal="1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8C9EF-D33A-46BA-8834-1F3C239EB946}" name="PivotTable6" cacheId="3" applyNumberFormats="0" applyBorderFormats="0" applyFontFormats="0" applyPatternFormats="0" applyAlignmentFormats="0" applyWidthHeightFormats="1" dataCaption="Values" missingCaption="0" tag="33880873-76dc-44ea-9f3b-2b51a6857f64" updatedVersion="8" minRefreshableVersion="3" useAutoFormatting="1" subtotalHiddenItems="1" rowGrandTotals="0" itemPrintTitles="1" createdVersion="8" indent="0" compact="0" outline="1" outlineData="1" compactData="0" multipleFieldFilters="0" chartFormat="39" rowHeaderCaption="Age Groups">
  <location ref="C22:D26" firstHeaderRow="1" firstDataRow="1" firstDataCol="1"/>
  <pivotFields count="3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axis="axisRow" compact="0" allDrilled="1" subtotalTop="0" showAll="0" sortType="descending" defaultSubtotal="0" defaultAttributeDrillState="1">
      <items count="4">
        <item x="3"/>
        <item x="2"/>
        <item x="1"/>
        <item x="0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/>
  </dataFields>
  <formats count="3">
    <format dxfId="45">
      <pivotArea field="1" type="button" dataOnly="0" labelOnly="1" outline="0"/>
    </format>
    <format dxfId="44">
      <pivotArea dataOnly="0" labelOnly="1" outline="0" axis="axisValues" fieldPosition="0"/>
    </format>
    <format dxfId="43">
      <pivotArea field="2" type="button" dataOnly="0" labelOnly="1" outline="0" axis="axisRow" fieldPosition="0"/>
    </format>
  </formats>
  <chartFormats count="7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52">
      <autoFilter ref="A1">
        <filterColumn colId="0">
          <top10 val="1" filterVal="1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84D2B-BC35-478D-AABE-7282C9032479}" name="PivotTable9" cacheId="10" applyNumberFormats="0" applyBorderFormats="0" applyFontFormats="0" applyPatternFormats="0" applyAlignmentFormats="0" applyWidthHeightFormats="1" dataCaption="Values" missingCaption="0" tag="8d888299-ddbb-4965-9465-7913a32bcfe4" updatedVersion="8" minRefreshableVersion="3" useAutoFormatting="1" subtotalHiddenItems="1" rowGrandTotals="0" itemPrintTitles="1" createdVersion="8" indent="0" compact="0" outline="1" outlineData="1" compactData="0" multipleFieldFilters="0" chartFormat="33" rowHeaderCaption="Age Groups">
  <location ref="C31:D32" firstHeaderRow="1" firstDataRow="1" firstDataCol="1"/>
  <pivotFields count="4">
    <pivotField dataField="1" compact="0" subtotalTop="0" showAll="0" defaultSubtotal="0"/>
    <pivotField name="Busiest Route" compact="0" allDrilled="1" subtotalTop="0" showAll="0" measureFilter="1" dataSourceSort="1" defaultSubtotal="0" defaultAttributeDrillState="1">
      <items count="1">
        <item x="0"/>
      </items>
    </pivotField>
    <pivotField name="Off-Peak Hours" compact="0" allDrilled="1" subtotalTop="0" showAll="0" measureFilter="1" sortType="descending" defaultSubtotal="0" defaultAttributeDrillState="1">
      <items count="4">
        <item x="2"/>
        <item x="3"/>
        <item x="1"/>
        <item x="0"/>
      </items>
    </pivotField>
    <pivotField name="Off-Peak Hour" axis="axisRow" compact="0" allDrilled="1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/>
  </dataFields>
  <formats count="4">
    <format dxfId="49">
      <pivotArea field="1" type="button" dataOnly="0" labelOnly="1" outline="0"/>
    </format>
    <format dxfId="48">
      <pivotArea dataOnly="0" labelOnly="1" outline="0" axis="axisValues" fieldPosition="0"/>
    </format>
    <format dxfId="47">
      <pivotArea field="2" type="button" dataOnly="0" labelOnly="1" outline="0"/>
    </format>
    <format dxfId="46">
      <pivotArea field="3" type="button" dataOnly="0" labelOnly="1" outline="0" axis="axisRow" fieldPosition="0"/>
    </format>
  </formats>
  <chartFormats count="2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3">
    <filter fld="1" type="count" id="1" iMeasureHier="52">
      <autoFilter ref="A1">
        <filterColumn colId="0">
          <top10 val="1" filterVal="1"/>
        </filterColumn>
      </autoFilter>
    </filter>
    <filter fld="2" type="count" id="2" iMeasureHier="52">
      <autoFilter ref="A1">
        <filterColumn colId="0">
          <top10 top="0" val="1" filterVal="1"/>
        </filterColumn>
      </autoFilter>
    </filter>
    <filter fld="3" type="count" id="3" iMeasureHier="52">
      <autoFilter ref="A1">
        <filterColumn colId="0">
          <top10 top="0" val="1" filterVal="1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BD239-07D6-4ADD-97F7-163BB52079FD}" name="PivotTable16" cacheId="13" applyNumberFormats="0" applyBorderFormats="0" applyFontFormats="0" applyPatternFormats="0" applyAlignmentFormats="0" applyWidthHeightFormats="1" dataCaption="Values" missingCaption="0" tag="fd7f450c-6771-4ef5-958b-af8c7d0218b2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F16:F17" firstHeaderRow="1" firstDataRow="1" firstDataCol="0"/>
  <pivotFields count="2">
    <pivotField name="Busiest Route" compact="0" allDrilled="1" subtotalTop="0" showAll="0" measureFilter="1" dataSourceSort="1" defaultSubtotal="0" defaultAttributeDrillState="1">
      <items count="1">
        <item x="0"/>
      </items>
    </pivotField>
    <pivotField dataField="1" compact="0" subtotalTop="0" showAll="0" defaultSubtotal="0"/>
  </pivotFields>
  <rowItems count="1">
    <i/>
  </rowItems>
  <colItems count="1">
    <i/>
  </colItems>
  <dataFields count="1">
    <dataField name="Total Buses" fld="1" subtotal="count" baseField="0" baseItem="0"/>
  </dataFields>
  <formats count="2">
    <format dxfId="51">
      <pivotArea field="0" type="button" dataOnly="0" labelOnly="1" outline="0"/>
    </format>
    <format dxfId="50">
      <pivotArea dataOnly="0" labelOnly="1" outline="0" axis="axisValues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Busiest Rou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 caption="Total Buses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52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  <x15:activeTabTopLevelEntity name="[Dim_routes]"/>
        <x15:activeTabTopLevelEntity name="[Dim_bu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7A4FA-BFDE-45E2-9144-B6E4BF98627F}" name="PivotTable1" cacheId="11" applyNumberFormats="0" applyBorderFormats="0" applyFontFormats="0" applyPatternFormats="0" applyAlignmentFormats="0" applyWidthHeightFormats="1" dataCaption="Values" missingCaption="0" tag="d16d9970-cf8c-431d-9425-211b30c545bf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C10:D11" firstHeaderRow="0" firstDataRow="1" firstDataCol="0"/>
  <pivotFields count="2">
    <pivotField dataField="1" compact="0" subtotalTop="0" showAll="0" defaultSubtotal="0"/>
    <pivotField dataField="1" compact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0E202-376D-419C-BA70-EC4625EE63C2}" name="PivotTable3" cacheId="7" applyNumberFormats="0" applyBorderFormats="0" applyFontFormats="0" applyPatternFormats="0" applyAlignmentFormats="0" applyWidthHeightFormats="1" dataCaption="Values" missingCaption="0" tag="1605b0c1-ce7b-450c-a79f-52fd4ea3cb41" updatedVersion="8" minRefreshableVersion="3" useAutoFormatting="1" subtotalHiddenItems="1" rowGrandTotals="0" itemPrintTitles="1" createdVersion="8" indent="0" compact="0" outline="1" outlineData="1" compactData="0" multipleFieldFilters="0" rowHeaderCaption="Age Groups">
  <location ref="C13:D14" firstHeaderRow="0" firstDataRow="1" firstDataCol="0"/>
  <pivotFields count="2">
    <pivotField dataField="1" compact="0" subtotalTop="0" showAll="0" defaultSubtotal="0"/>
    <pivotField dataField="1" compact="0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ransactions per Group"/>
    <pivotHierarchy dragToData="1"/>
    <pivotHierarchy dragToData="1" caption="Count of Age"/>
    <pivotHierarchy dragToData="1"/>
    <pivotHierarchy dragToData="1" caption="Total Records in Demographics Table"/>
    <pivotHierarchy dragToData="1"/>
    <pivotHierarchy dragToData="1" caption="Total Records in Transaction Table"/>
    <pivotHierarchy dragToData="1"/>
    <pivotHierarchy dragToData="1"/>
    <pivotHierarchy dragToData="1"/>
    <pivotHierarchy dragToData="1"/>
    <pivotHierarchy dragToRow="0" dragToCol="0" dragToPage="0" dragToData="1" caption="Total Transactions (Measure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D9CD-C28D-4F6F-BD1C-15AF374FF183}">
  <dimension ref="A1"/>
  <sheetViews>
    <sheetView showGridLines="0" showRowColHeaders="0" tabSelected="1" topLeftCell="A3" zoomScale="74" zoomScaleNormal="76" workbookViewId="0">
      <selection activeCell="D3" sqref="D3"/>
    </sheetView>
  </sheetViews>
  <sheetFormatPr defaultRowHeight="14.4" x14ac:dyDescent="0.3"/>
  <cols>
    <col min="1" max="16384" width="8.88671875" style="21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7"/>
  <sheetViews>
    <sheetView zoomScale="88" zoomScaleNormal="76" workbookViewId="0">
      <selection activeCell="K55" sqref="K55"/>
    </sheetView>
  </sheetViews>
  <sheetFormatPr defaultRowHeight="14.4" x14ac:dyDescent="0.3"/>
  <cols>
    <col min="1" max="1" width="8.88671875" customWidth="1"/>
    <col min="2" max="2" width="0.88671875" customWidth="1"/>
    <col min="3" max="3" width="19.6640625" bestFit="1" customWidth="1"/>
    <col min="4" max="4" width="20.6640625" bestFit="1" customWidth="1"/>
    <col min="5" max="5" width="30.44140625" bestFit="1" customWidth="1"/>
    <col min="6" max="6" width="10.6640625" bestFit="1" customWidth="1"/>
    <col min="7" max="7" width="21.5546875" bestFit="1" customWidth="1"/>
    <col min="8" max="8" width="20.5546875" bestFit="1" customWidth="1"/>
    <col min="9" max="9" width="13.88671875" bestFit="1" customWidth="1"/>
    <col min="11" max="11" width="25.44140625" bestFit="1" customWidth="1"/>
    <col min="12" max="12" width="88.77734375" customWidth="1"/>
  </cols>
  <sheetData>
    <row r="2" spans="2:7" x14ac:dyDescent="0.3">
      <c r="B2" s="3"/>
      <c r="C2" s="3" t="s">
        <v>6</v>
      </c>
      <c r="D2" s="3" t="s">
        <v>8</v>
      </c>
      <c r="E2" s="3" t="s">
        <v>7</v>
      </c>
      <c r="F2" s="3" t="s">
        <v>9</v>
      </c>
      <c r="G2" s="3" t="s">
        <v>10</v>
      </c>
    </row>
    <row r="3" spans="2:7" x14ac:dyDescent="0.3">
      <c r="B3" s="3"/>
      <c r="C3" t="s">
        <v>0</v>
      </c>
      <c r="D3">
        <v>8</v>
      </c>
      <c r="E3">
        <v>16</v>
      </c>
      <c r="F3" s="1">
        <v>16</v>
      </c>
      <c r="G3" s="2">
        <v>17.625</v>
      </c>
    </row>
    <row r="4" spans="2:7" x14ac:dyDescent="0.3">
      <c r="B4" s="3"/>
      <c r="C4" t="s">
        <v>1</v>
      </c>
      <c r="D4">
        <v>13</v>
      </c>
      <c r="E4">
        <v>26</v>
      </c>
      <c r="F4" s="1">
        <v>26</v>
      </c>
      <c r="G4" s="2">
        <v>24.846153846153847</v>
      </c>
    </row>
    <row r="5" spans="2:7" x14ac:dyDescent="0.3">
      <c r="B5" s="3"/>
      <c r="C5" t="s">
        <v>2</v>
      </c>
      <c r="D5">
        <v>22</v>
      </c>
      <c r="E5">
        <v>44</v>
      </c>
      <c r="F5" s="1">
        <v>44</v>
      </c>
      <c r="G5" s="2">
        <v>34.136363636363633</v>
      </c>
    </row>
    <row r="6" spans="2:7" x14ac:dyDescent="0.3">
      <c r="B6" s="3"/>
      <c r="C6" t="s">
        <v>3</v>
      </c>
      <c r="D6">
        <v>19</v>
      </c>
      <c r="E6">
        <v>38</v>
      </c>
      <c r="F6" s="1">
        <v>38</v>
      </c>
      <c r="G6" s="2">
        <v>43.578947368421055</v>
      </c>
    </row>
    <row r="7" spans="2:7" x14ac:dyDescent="0.3">
      <c r="B7" s="3"/>
      <c r="C7" t="s">
        <v>4</v>
      </c>
      <c r="D7">
        <v>21</v>
      </c>
      <c r="E7">
        <v>42</v>
      </c>
      <c r="F7" s="1">
        <v>42</v>
      </c>
      <c r="G7" s="2">
        <v>53.761904761904759</v>
      </c>
    </row>
    <row r="8" spans="2:7" x14ac:dyDescent="0.3">
      <c r="B8" s="3"/>
      <c r="C8" t="s">
        <v>5</v>
      </c>
      <c r="D8">
        <v>17</v>
      </c>
      <c r="E8">
        <v>34</v>
      </c>
      <c r="F8" s="1">
        <v>34</v>
      </c>
      <c r="G8" s="2">
        <v>64.529411764705884</v>
      </c>
    </row>
    <row r="9" spans="2:7" x14ac:dyDescent="0.3">
      <c r="B9" s="3"/>
    </row>
    <row r="10" spans="2:7" x14ac:dyDescent="0.3">
      <c r="B10" s="3"/>
      <c r="C10" s="3" t="s">
        <v>9</v>
      </c>
      <c r="D10" s="3" t="s">
        <v>10</v>
      </c>
    </row>
    <row r="11" spans="2:7" x14ac:dyDescent="0.3">
      <c r="B11" s="3"/>
      <c r="C11" s="1">
        <v>200</v>
      </c>
      <c r="D11" s="2">
        <v>42.69</v>
      </c>
    </row>
    <row r="12" spans="2:7" x14ac:dyDescent="0.3">
      <c r="B12" s="3"/>
    </row>
    <row r="13" spans="2:7" x14ac:dyDescent="0.3">
      <c r="B13" s="3"/>
      <c r="C13" s="3" t="s">
        <v>11</v>
      </c>
      <c r="D13" s="3" t="s">
        <v>12</v>
      </c>
    </row>
    <row r="14" spans="2:7" x14ac:dyDescent="0.3">
      <c r="B14" s="3"/>
      <c r="C14" s="1">
        <v>6587</v>
      </c>
      <c r="D14" s="1">
        <v>32.935000000000002</v>
      </c>
    </row>
    <row r="15" spans="2:7" x14ac:dyDescent="0.3">
      <c r="B15" s="3"/>
      <c r="C15" s="1"/>
      <c r="D15" s="1"/>
    </row>
    <row r="16" spans="2:7" x14ac:dyDescent="0.3">
      <c r="B16" s="3"/>
      <c r="C16" s="3" t="s">
        <v>15</v>
      </c>
      <c r="D16" s="3" t="s">
        <v>11</v>
      </c>
      <c r="F16" s="3" t="s">
        <v>55</v>
      </c>
    </row>
    <row r="17" spans="2:6" x14ac:dyDescent="0.3">
      <c r="B17" s="3"/>
      <c r="C17" t="s">
        <v>13</v>
      </c>
      <c r="D17" s="1">
        <v>1322</v>
      </c>
      <c r="F17">
        <v>40</v>
      </c>
    </row>
    <row r="18" spans="2:6" x14ac:dyDescent="0.3">
      <c r="B18" s="3"/>
    </row>
    <row r="19" spans="2:6" x14ac:dyDescent="0.3">
      <c r="B19" s="3"/>
      <c r="C19" s="3" t="s">
        <v>21</v>
      </c>
      <c r="D19" s="3" t="s">
        <v>11</v>
      </c>
    </row>
    <row r="20" spans="2:6" x14ac:dyDescent="0.3">
      <c r="B20" s="3"/>
      <c r="C20" t="s">
        <v>14</v>
      </c>
      <c r="D20" s="1">
        <v>185</v>
      </c>
    </row>
    <row r="21" spans="2:6" x14ac:dyDescent="0.3">
      <c r="B21" s="3"/>
      <c r="F21" s="3" t="s">
        <v>11</v>
      </c>
    </row>
    <row r="22" spans="2:6" x14ac:dyDescent="0.3">
      <c r="B22" s="3"/>
      <c r="C22" s="3" t="s">
        <v>16</v>
      </c>
      <c r="D22" s="3" t="s">
        <v>11</v>
      </c>
      <c r="F22" s="1">
        <v>6587</v>
      </c>
    </row>
    <row r="23" spans="2:6" x14ac:dyDescent="0.3">
      <c r="B23" s="3"/>
      <c r="C23" t="s">
        <v>20</v>
      </c>
      <c r="D23" s="1">
        <v>1653</v>
      </c>
    </row>
    <row r="24" spans="2:6" x14ac:dyDescent="0.3">
      <c r="B24" s="3"/>
      <c r="C24" t="s">
        <v>19</v>
      </c>
      <c r="D24" s="1">
        <v>1345</v>
      </c>
    </row>
    <row r="25" spans="2:6" x14ac:dyDescent="0.3">
      <c r="B25" s="3"/>
      <c r="C25" t="s">
        <v>18</v>
      </c>
      <c r="D25" s="1">
        <v>1346</v>
      </c>
    </row>
    <row r="26" spans="2:6" x14ac:dyDescent="0.3">
      <c r="B26" s="3"/>
      <c r="C26" t="s">
        <v>17</v>
      </c>
      <c r="D26" s="1">
        <v>2243</v>
      </c>
    </row>
    <row r="27" spans="2:6" x14ac:dyDescent="0.3">
      <c r="B27" s="3"/>
    </row>
    <row r="28" spans="2:6" x14ac:dyDescent="0.3">
      <c r="B28" s="3"/>
      <c r="C28" s="3" t="s">
        <v>22</v>
      </c>
      <c r="D28" s="3" t="s">
        <v>11</v>
      </c>
    </row>
    <row r="29" spans="2:6" x14ac:dyDescent="0.3">
      <c r="B29" s="3"/>
      <c r="C29" s="4">
        <v>0.87291666666666667</v>
      </c>
      <c r="D29" s="1">
        <v>80</v>
      </c>
    </row>
    <row r="30" spans="2:6" x14ac:dyDescent="0.3">
      <c r="B30" s="3"/>
    </row>
    <row r="31" spans="2:6" x14ac:dyDescent="0.3">
      <c r="B31" s="3"/>
      <c r="C31" s="3" t="s">
        <v>23</v>
      </c>
      <c r="D31" s="3" t="s">
        <v>11</v>
      </c>
    </row>
    <row r="32" spans="2:6" x14ac:dyDescent="0.3">
      <c r="B32" s="3"/>
      <c r="C32" s="4">
        <v>0.82638888888888884</v>
      </c>
      <c r="D32" s="1">
        <v>15</v>
      </c>
    </row>
    <row r="34" spans="3:11" x14ac:dyDescent="0.3">
      <c r="C34" s="3" t="s">
        <v>24</v>
      </c>
      <c r="D34" s="3" t="s">
        <v>31</v>
      </c>
      <c r="E34" s="8" t="s">
        <v>32</v>
      </c>
      <c r="F34" s="6" t="s">
        <v>26</v>
      </c>
      <c r="G34" s="6" t="s">
        <v>25</v>
      </c>
      <c r="J34" s="22" t="s">
        <v>27</v>
      </c>
      <c r="K34" s="22"/>
    </row>
    <row r="35" spans="3:11" x14ac:dyDescent="0.3">
      <c r="C35">
        <v>2023</v>
      </c>
      <c r="D35" s="1">
        <v>5654</v>
      </c>
      <c r="F35" t="str">
        <f>IF(E35 = FALSE, "Not Applicable", IF(E35 &lt; 0, $J$36, $J$35))</f>
        <v>Not Applicable</v>
      </c>
      <c r="G35" t="str">
        <f>IF(E35 = FALSE, "Not Applicable", IF(E35 &lt; 0, $K$36, $K$35))</f>
        <v>Not Applicable</v>
      </c>
      <c r="J35" s="10" t="s">
        <v>29</v>
      </c>
      <c r="K35" s="7" t="s">
        <v>30</v>
      </c>
    </row>
    <row r="36" spans="3:11" x14ac:dyDescent="0.3">
      <c r="C36">
        <v>2024</v>
      </c>
      <c r="D36" s="1">
        <v>933</v>
      </c>
      <c r="E36" s="5">
        <f>(GETPIVOTDATA("[Measures].[Total Riders (Measure)]",$C$34,"[Dim_datetable].[Year]","[Dim_datetable].[Year].&amp;[2024]") - GETPIVOTDATA("[Measures].[Total Riders (Measure)]",$C$34,"[Dim_datetable].[Year]","[Dim_datetable].[Year].&amp;[2023]"))/GETPIVOTDATA("[Measures].[Total Riders (Measure)]",$C$34,"[Dim_datetable].[Year]","[Dim_datetable].[Year].&amp;[2023]")</f>
        <v>-0.83498408206579411</v>
      </c>
      <c r="F36" t="str">
        <f>IF(E36 = FALSE, "Not Applicable", IF(E36 &lt; 0, $J$36, $J$35))</f>
        <v>▼</v>
      </c>
      <c r="G36" t="str">
        <f>IF(E36 = FALSE, "Not Applicable", IF(E36 &lt; 0, $K$36, $K$35))</f>
        <v>Improvement required</v>
      </c>
      <c r="J36" s="9" t="s">
        <v>28</v>
      </c>
      <c r="K36" s="7" t="s">
        <v>34</v>
      </c>
    </row>
    <row r="37" spans="3:11" x14ac:dyDescent="0.3">
      <c r="D37" s="1"/>
      <c r="E37" s="5"/>
      <c r="J37" s="7"/>
      <c r="K37" s="7"/>
    </row>
    <row r="38" spans="3:11" x14ac:dyDescent="0.3">
      <c r="D38" s="11" t="s">
        <v>33</v>
      </c>
      <c r="E38" s="12">
        <f>AVERAGE(E35:E36)</f>
        <v>-0.83498408206579411</v>
      </c>
      <c r="F38" s="13" t="str">
        <f>IF(E38 = FALSE, "", IF(E38 &lt; 0, $J$36, $J$35))</f>
        <v>▼</v>
      </c>
      <c r="G38" s="14" t="str">
        <f>IF(E38 = FALSE, "Not Applicable", IF(E38 &lt; 0, $K$36, $K$35))</f>
        <v>Improvement required</v>
      </c>
    </row>
    <row r="40" spans="3:11" x14ac:dyDescent="0.3">
      <c r="C40" s="3" t="s">
        <v>35</v>
      </c>
      <c r="D40" s="3" t="s">
        <v>31</v>
      </c>
      <c r="F40" s="6" t="str">
        <f>C40</f>
        <v>DayName</v>
      </c>
      <c r="G40" s="6" t="str">
        <f>D40</f>
        <v>Total Riders</v>
      </c>
      <c r="H40" s="6" t="s">
        <v>37</v>
      </c>
      <c r="I40" s="6" t="s">
        <v>36</v>
      </c>
    </row>
    <row r="41" spans="3:11" x14ac:dyDescent="0.3">
      <c r="C41" t="s">
        <v>39</v>
      </c>
      <c r="D41" s="1">
        <v>1185</v>
      </c>
      <c r="F41" t="str">
        <f t="shared" ref="F41:G47" si="0">C41</f>
        <v>Sun</v>
      </c>
      <c r="G41" s="20">
        <f t="shared" si="0"/>
        <v>1185</v>
      </c>
      <c r="H41">
        <f>AVERAGE($G$41:$G$47)</f>
        <v>941</v>
      </c>
      <c r="I41" s="20">
        <f>IF(G41&gt;H41,G41,"")</f>
        <v>1185</v>
      </c>
    </row>
    <row r="42" spans="3:11" x14ac:dyDescent="0.3">
      <c r="C42" t="s">
        <v>40</v>
      </c>
      <c r="D42" s="1">
        <v>1085</v>
      </c>
      <c r="F42" t="str">
        <f t="shared" si="0"/>
        <v>Mon</v>
      </c>
      <c r="G42" s="20">
        <f t="shared" si="0"/>
        <v>1085</v>
      </c>
      <c r="H42">
        <f t="shared" ref="H42:H47" si="1">AVERAGE($G$41:$G$47)</f>
        <v>941</v>
      </c>
      <c r="I42" s="20">
        <f t="shared" ref="I42:I47" si="2">IF(G42&gt;H42,G42,"")</f>
        <v>1085</v>
      </c>
    </row>
    <row r="43" spans="3:11" x14ac:dyDescent="0.3">
      <c r="C43" t="s">
        <v>41</v>
      </c>
      <c r="D43" s="1">
        <v>983</v>
      </c>
      <c r="F43" t="str">
        <f t="shared" si="0"/>
        <v>Tue</v>
      </c>
      <c r="G43" s="20">
        <f t="shared" si="0"/>
        <v>983</v>
      </c>
      <c r="H43">
        <f t="shared" si="1"/>
        <v>941</v>
      </c>
      <c r="I43" s="20">
        <f t="shared" si="2"/>
        <v>983</v>
      </c>
    </row>
    <row r="44" spans="3:11" x14ac:dyDescent="0.3">
      <c r="C44" t="s">
        <v>42</v>
      </c>
      <c r="D44" s="1">
        <v>887</v>
      </c>
      <c r="F44" t="str">
        <f t="shared" si="0"/>
        <v>Wed</v>
      </c>
      <c r="G44" s="20">
        <f t="shared" si="0"/>
        <v>887</v>
      </c>
      <c r="H44">
        <f t="shared" si="1"/>
        <v>941</v>
      </c>
      <c r="I44" s="20" t="str">
        <f t="shared" si="2"/>
        <v/>
      </c>
    </row>
    <row r="45" spans="3:11" x14ac:dyDescent="0.3">
      <c r="C45" t="s">
        <v>43</v>
      </c>
      <c r="D45" s="1">
        <v>889</v>
      </c>
      <c r="F45" t="str">
        <f t="shared" si="0"/>
        <v>Thu</v>
      </c>
      <c r="G45" s="20">
        <f t="shared" si="0"/>
        <v>889</v>
      </c>
      <c r="H45">
        <f t="shared" si="1"/>
        <v>941</v>
      </c>
      <c r="I45" s="20" t="str">
        <f t="shared" si="2"/>
        <v/>
      </c>
    </row>
    <row r="46" spans="3:11" x14ac:dyDescent="0.3">
      <c r="C46" t="s">
        <v>44</v>
      </c>
      <c r="D46" s="1">
        <v>762</v>
      </c>
      <c r="F46" t="str">
        <f t="shared" si="0"/>
        <v>Fri</v>
      </c>
      <c r="G46" s="20">
        <f t="shared" si="0"/>
        <v>762</v>
      </c>
      <c r="H46">
        <f t="shared" si="1"/>
        <v>941</v>
      </c>
      <c r="I46" s="20" t="str">
        <f t="shared" si="2"/>
        <v/>
      </c>
    </row>
    <row r="47" spans="3:11" x14ac:dyDescent="0.3">
      <c r="C47" t="s">
        <v>45</v>
      </c>
      <c r="D47" s="1">
        <v>796</v>
      </c>
      <c r="F47" t="str">
        <f t="shared" si="0"/>
        <v>Sat</v>
      </c>
      <c r="G47" s="20">
        <f t="shared" si="0"/>
        <v>796</v>
      </c>
      <c r="H47">
        <f t="shared" si="1"/>
        <v>941</v>
      </c>
      <c r="I47" s="20" t="str">
        <f t="shared" si="2"/>
        <v/>
      </c>
    </row>
    <row r="49" spans="3:12" x14ac:dyDescent="0.3">
      <c r="G49" s="14" t="s">
        <v>38</v>
      </c>
      <c r="H49" s="15">
        <f>SUM(I41:I47)/SUM(G41:G47)</f>
        <v>0.4938515257325034</v>
      </c>
      <c r="K49" s="14" t="s">
        <v>25</v>
      </c>
      <c r="L49" s="13" t="str">
        <f>IF(H49 &gt; 0, "The below highlighted days reported above average commuters and constituted " &amp; TEXT(H49, "0.00%") &amp; " of overall footfall","None of days reported above average commuter count")</f>
        <v>The below highlighted days reported above average commuters and constituted 49.39% of overall footfall</v>
      </c>
    </row>
    <row r="51" spans="3:12" x14ac:dyDescent="0.3">
      <c r="C51" s="3" t="s">
        <v>46</v>
      </c>
      <c r="D51" s="3" t="s">
        <v>31</v>
      </c>
      <c r="F51" s="6" t="s">
        <v>46</v>
      </c>
      <c r="G51" s="6" t="s">
        <v>31</v>
      </c>
      <c r="H51" s="6" t="s">
        <v>53</v>
      </c>
      <c r="I51" s="6" t="s">
        <v>54</v>
      </c>
    </row>
    <row r="52" spans="3:12" x14ac:dyDescent="0.3">
      <c r="C52" t="s">
        <v>47</v>
      </c>
      <c r="D52" s="19">
        <v>1633</v>
      </c>
      <c r="F52" t="str">
        <f>C52</f>
        <v>Other</v>
      </c>
      <c r="G52" s="20">
        <f>D52</f>
        <v>1633</v>
      </c>
      <c r="H52">
        <f>RANK(G52,$G$52:$G$57,0)</f>
        <v>1</v>
      </c>
      <c r="I52" s="20" t="str">
        <f>IF(AND(H52&gt;=2,H52&lt;=3),G52,"")</f>
        <v/>
      </c>
    </row>
    <row r="53" spans="3:12" x14ac:dyDescent="0.3">
      <c r="C53" t="s">
        <v>48</v>
      </c>
      <c r="D53" s="19">
        <v>1554</v>
      </c>
      <c r="F53" t="str">
        <f t="shared" ref="F53:G57" si="3">C53</f>
        <v>Professional</v>
      </c>
      <c r="G53" s="20">
        <f t="shared" si="3"/>
        <v>1554</v>
      </c>
      <c r="H53">
        <f t="shared" ref="H53:H57" si="4">RANK(G53,$G$52:$G$57,0)</f>
        <v>2</v>
      </c>
      <c r="I53" s="20">
        <f t="shared" ref="I53:I57" si="5">IF(AND(H53&gt;=2,H53&lt;=3),G53,"")</f>
        <v>1554</v>
      </c>
    </row>
    <row r="54" spans="3:12" x14ac:dyDescent="0.3">
      <c r="C54" t="s">
        <v>50</v>
      </c>
      <c r="D54" s="19">
        <v>1321</v>
      </c>
      <c r="F54" t="str">
        <f t="shared" si="3"/>
        <v>Self-Employed</v>
      </c>
      <c r="G54" s="20">
        <f t="shared" si="3"/>
        <v>1321</v>
      </c>
      <c r="H54">
        <f t="shared" si="4"/>
        <v>3</v>
      </c>
      <c r="I54" s="20">
        <f t="shared" si="5"/>
        <v>1321</v>
      </c>
    </row>
    <row r="55" spans="3:12" x14ac:dyDescent="0.3">
      <c r="C55" t="s">
        <v>52</v>
      </c>
      <c r="D55" s="19">
        <v>1011</v>
      </c>
      <c r="F55" t="str">
        <f t="shared" si="3"/>
        <v>Unemployed</v>
      </c>
      <c r="G55" s="20">
        <f t="shared" si="3"/>
        <v>1011</v>
      </c>
      <c r="H55">
        <f t="shared" si="4"/>
        <v>4</v>
      </c>
      <c r="I55" s="20" t="str">
        <f t="shared" si="5"/>
        <v/>
      </c>
    </row>
    <row r="56" spans="3:12" x14ac:dyDescent="0.3">
      <c r="C56" t="s">
        <v>49</v>
      </c>
      <c r="D56" s="19">
        <v>589</v>
      </c>
      <c r="F56" t="str">
        <f t="shared" si="3"/>
        <v>Retired</v>
      </c>
      <c r="G56" s="20">
        <f t="shared" si="3"/>
        <v>589</v>
      </c>
      <c r="H56">
        <f t="shared" si="4"/>
        <v>5</v>
      </c>
      <c r="I56" s="20" t="str">
        <f t="shared" si="5"/>
        <v/>
      </c>
    </row>
    <row r="57" spans="3:12" x14ac:dyDescent="0.3">
      <c r="C57" t="s">
        <v>51</v>
      </c>
      <c r="D57" s="19">
        <v>479</v>
      </c>
      <c r="F57" t="str">
        <f t="shared" si="3"/>
        <v>Student</v>
      </c>
      <c r="G57" s="20">
        <f t="shared" si="3"/>
        <v>479</v>
      </c>
      <c r="H57">
        <f t="shared" si="4"/>
        <v>6</v>
      </c>
      <c r="I57" s="20" t="str">
        <f t="shared" si="5"/>
        <v/>
      </c>
    </row>
    <row r="59" spans="3:12" x14ac:dyDescent="0.3">
      <c r="C59" s="3" t="s">
        <v>60</v>
      </c>
      <c r="D59" s="3" t="s">
        <v>59</v>
      </c>
      <c r="E59" s="6" t="s">
        <v>25</v>
      </c>
      <c r="F59" s="6" t="str">
        <f>C59</f>
        <v>Bus Utilization During Trip</v>
      </c>
      <c r="G59" s="6" t="s">
        <v>61</v>
      </c>
      <c r="H59" s="6" t="s">
        <v>62</v>
      </c>
    </row>
    <row r="60" spans="3:12" x14ac:dyDescent="0.3">
      <c r="C60" t="s">
        <v>56</v>
      </c>
      <c r="D60" s="2">
        <v>20</v>
      </c>
      <c r="E60" t="str">
        <f>D60&amp;" Buses"</f>
        <v>20 Buses</v>
      </c>
      <c r="F60" t="str">
        <f t="shared" ref="F60:F62" si="6">C60</f>
        <v>Over-Utilized</v>
      </c>
      <c r="G60" s="16">
        <f>D60/SUM($D$60:$D$62)</f>
        <v>0.24096385542168675</v>
      </c>
      <c r="H60" s="16">
        <f>1-G60</f>
        <v>0.75903614457831325</v>
      </c>
    </row>
    <row r="61" spans="3:12" x14ac:dyDescent="0.3">
      <c r="C61" t="s">
        <v>57</v>
      </c>
      <c r="D61" s="2">
        <v>29</v>
      </c>
      <c r="E61" t="str">
        <f t="shared" ref="E61:E62" si="7">D61&amp;" Buses"</f>
        <v>29 Buses</v>
      </c>
      <c r="F61" t="str">
        <f t="shared" si="6"/>
        <v>Under-Utilized</v>
      </c>
      <c r="G61" s="16">
        <f>D61/SUM($D$60:$D$62)</f>
        <v>0.3493975903614458</v>
      </c>
      <c r="H61" s="16">
        <f t="shared" ref="H61:H62" si="8">1-G61</f>
        <v>0.6506024096385542</v>
      </c>
    </row>
    <row r="62" spans="3:12" x14ac:dyDescent="0.3">
      <c r="C62" t="s">
        <v>58</v>
      </c>
      <c r="D62" s="2">
        <v>34</v>
      </c>
      <c r="E62" t="str">
        <f t="shared" si="7"/>
        <v>34 Buses</v>
      </c>
      <c r="F62" t="str">
        <f t="shared" si="6"/>
        <v>Well-Utilized</v>
      </c>
      <c r="G62" s="16">
        <f>D62/SUM($D$60:$D$62)</f>
        <v>0.40963855421686746</v>
      </c>
      <c r="H62" s="16">
        <f t="shared" si="8"/>
        <v>0.59036144578313254</v>
      </c>
    </row>
    <row r="63" spans="3:12" x14ac:dyDescent="0.3">
      <c r="G63" s="14" t="s">
        <v>63</v>
      </c>
      <c r="H63" s="17">
        <f>SUM(G60:G62)</f>
        <v>1</v>
      </c>
    </row>
    <row r="65" spans="3:5" x14ac:dyDescent="0.3">
      <c r="C65" s="3" t="s">
        <v>64</v>
      </c>
      <c r="D65" s="3" t="s">
        <v>11</v>
      </c>
      <c r="E65" s="18"/>
    </row>
    <row r="66" spans="3:5" x14ac:dyDescent="0.3">
      <c r="C66" t="s">
        <v>65</v>
      </c>
      <c r="D66" s="5">
        <v>0.63245787156520417</v>
      </c>
    </row>
    <row r="67" spans="3:5" x14ac:dyDescent="0.3">
      <c r="C67" t="s">
        <v>66</v>
      </c>
      <c r="D67" s="5">
        <v>0.36754212843479583</v>
      </c>
    </row>
  </sheetData>
  <mergeCells count="1">
    <mergeCell ref="J34:K34"/>
  </mergeCells>
  <conditionalFormatting sqref="F38">
    <cfRule type="containsText" dxfId="1" priority="1" operator="containsText" text="▲">
      <formula>NOT(ISERROR(SEARCH("▲",F38)))</formula>
    </cfRule>
    <cfRule type="containsText" dxfId="0" priority="2" operator="containsText" text="▼">
      <formula>NOT(ISERROR(SEARCH("▼",F38)))</formula>
    </cfRule>
  </conditionalFormatting>
  <pageMargins left="0.7" right="0.7" top="0.75" bottom="0.75" header="0.3" footer="0.3"/>
  <pageSetup orientation="portrait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AB7E23E5-E58A-42BC-87AC-38942AB62682}">
  <ds:schemaRefs/>
</ds:datastoreItem>
</file>

<file path=customXml/itemProps2.xml><?xml version="1.0" encoding="utf-8"?>
<ds:datastoreItem xmlns:ds="http://schemas.openxmlformats.org/officeDocument/2006/customXml" ds:itemID="{D27E45E2-9ACA-4E59-AD36-F9A0BBFFD50E}">
  <ds:schemaRefs/>
</ds:datastoreItem>
</file>

<file path=customXml/itemProps3.xml><?xml version="1.0" encoding="utf-8"?>
<ds:datastoreItem xmlns:ds="http://schemas.openxmlformats.org/officeDocument/2006/customXml" ds:itemID="{EB4E3DC1-B651-4C79-9FA4-822B66E8B83B}">
  <ds:schemaRefs/>
</ds:datastoreItem>
</file>

<file path=customXml/itemProps4.xml><?xml version="1.0" encoding="utf-8"?>
<ds:datastoreItem xmlns:ds="http://schemas.openxmlformats.org/officeDocument/2006/customXml" ds:itemID="{2FE6F4B8-D550-4E8A-A576-3ECF39F1A059}">
  <ds:schemaRefs/>
</ds:datastoreItem>
</file>

<file path=customXml/itemProps5.xml><?xml version="1.0" encoding="utf-8"?>
<ds:datastoreItem xmlns:ds="http://schemas.openxmlformats.org/officeDocument/2006/customXml" ds:itemID="{1731CB76-0BC2-4658-8DCD-13F9887B5AD6}">
  <ds:schemaRefs/>
</ds:datastoreItem>
</file>

<file path=customXml/itemProps6.xml><?xml version="1.0" encoding="utf-8"?>
<ds:datastoreItem xmlns:ds="http://schemas.openxmlformats.org/officeDocument/2006/customXml" ds:itemID="{3CEC4BCE-1F72-454D-B258-C737E3B1F7C7}">
  <ds:schemaRefs/>
</ds:datastoreItem>
</file>

<file path=customXml/itemProps7.xml><?xml version="1.0" encoding="utf-8"?>
<ds:datastoreItem xmlns:ds="http://schemas.openxmlformats.org/officeDocument/2006/customXml" ds:itemID="{15D0546E-AA7D-4C65-BAD3-CA45C6A5D3EE}">
  <ds:schemaRefs/>
</ds:datastoreItem>
</file>

<file path=customXml/itemProps8.xml><?xml version="1.0" encoding="utf-8"?>
<ds:datastoreItem xmlns:ds="http://schemas.openxmlformats.org/officeDocument/2006/customXml" ds:itemID="{9DA052F7-2796-4EC6-9D23-F2A03A7D26BD}">
  <ds:schemaRefs/>
</ds:datastoreItem>
</file>

<file path=customXml/itemProps9.xml><?xml version="1.0" encoding="utf-8"?>
<ds:datastoreItem xmlns:ds="http://schemas.openxmlformats.org/officeDocument/2006/customXml" ds:itemID="{4BC230A4-F238-43AB-AF8A-78FD3683DD32}">
  <ds:schemaRefs/>
</ds:datastoreItem>
</file>

<file path=customXml/itemProps10.xml><?xml version="1.0" encoding="utf-8"?>
<ds:datastoreItem xmlns:ds="http://schemas.openxmlformats.org/officeDocument/2006/customXml" ds:itemID="{FCF35F64-A6CC-4CFD-82C8-0C3D41AED136}">
  <ds:schemaRefs/>
</ds:datastoreItem>
</file>

<file path=customXml/itemProps11.xml><?xml version="1.0" encoding="utf-8"?>
<ds:datastoreItem xmlns:ds="http://schemas.openxmlformats.org/officeDocument/2006/customXml" ds:itemID="{F1EAEA73-913E-428E-85D5-6E4D8DCF7684}">
  <ds:schemaRefs/>
</ds:datastoreItem>
</file>

<file path=customXml/itemProps12.xml><?xml version="1.0" encoding="utf-8"?>
<ds:datastoreItem xmlns:ds="http://schemas.openxmlformats.org/officeDocument/2006/customXml" ds:itemID="{5A48C1BC-E76A-462E-908A-9220712EE95F}">
  <ds:schemaRefs/>
</ds:datastoreItem>
</file>

<file path=customXml/itemProps13.xml><?xml version="1.0" encoding="utf-8"?>
<ds:datastoreItem xmlns:ds="http://schemas.openxmlformats.org/officeDocument/2006/customXml" ds:itemID="{052AB012-E377-4D2D-8626-7DCD18710986}">
  <ds:schemaRefs/>
</ds:datastoreItem>
</file>

<file path=customXml/itemProps14.xml><?xml version="1.0" encoding="utf-8"?>
<ds:datastoreItem xmlns:ds="http://schemas.openxmlformats.org/officeDocument/2006/customXml" ds:itemID="{19F67DE6-8C7F-4654-8B1D-54EC249DCA7E}">
  <ds:schemaRefs/>
</ds:datastoreItem>
</file>

<file path=customXml/itemProps15.xml><?xml version="1.0" encoding="utf-8"?>
<ds:datastoreItem xmlns:ds="http://schemas.openxmlformats.org/officeDocument/2006/customXml" ds:itemID="{0FB50D7A-AF78-4A50-851F-E553ED9F2B64}">
  <ds:schemaRefs/>
</ds:datastoreItem>
</file>

<file path=customXml/itemProps16.xml><?xml version="1.0" encoding="utf-8"?>
<ds:datastoreItem xmlns:ds="http://schemas.openxmlformats.org/officeDocument/2006/customXml" ds:itemID="{4A264FF5-4033-4330-97B8-E45A25219663}">
  <ds:schemaRefs/>
</ds:datastoreItem>
</file>

<file path=customXml/itemProps17.xml><?xml version="1.0" encoding="utf-8"?>
<ds:datastoreItem xmlns:ds="http://schemas.openxmlformats.org/officeDocument/2006/customXml" ds:itemID="{E85578EB-C805-4561-886D-A2642C9551AC}">
  <ds:schemaRefs/>
</ds:datastoreItem>
</file>

<file path=customXml/itemProps18.xml><?xml version="1.0" encoding="utf-8"?>
<ds:datastoreItem xmlns:ds="http://schemas.openxmlformats.org/officeDocument/2006/customXml" ds:itemID="{6DC675BC-2827-45E6-9223-462BAF7990C0}">
  <ds:schemaRefs/>
</ds:datastoreItem>
</file>

<file path=customXml/itemProps19.xml><?xml version="1.0" encoding="utf-8"?>
<ds:datastoreItem xmlns:ds="http://schemas.openxmlformats.org/officeDocument/2006/customXml" ds:itemID="{6499C0CF-4611-4DDA-A2C3-9F78E85F7EAD}">
  <ds:schemaRefs/>
</ds:datastoreItem>
</file>

<file path=customXml/itemProps20.xml><?xml version="1.0" encoding="utf-8"?>
<ds:datastoreItem xmlns:ds="http://schemas.openxmlformats.org/officeDocument/2006/customXml" ds:itemID="{3AD65F4C-1279-4AF3-BA08-4C34091CB372}">
  <ds:schemaRefs/>
</ds:datastoreItem>
</file>

<file path=customXml/itemProps21.xml><?xml version="1.0" encoding="utf-8"?>
<ds:datastoreItem xmlns:ds="http://schemas.openxmlformats.org/officeDocument/2006/customXml" ds:itemID="{BB2ABC59-C512-4B40-880B-BED8E2CAFD70}">
  <ds:schemaRefs/>
</ds:datastoreItem>
</file>

<file path=customXml/itemProps22.xml><?xml version="1.0" encoding="utf-8"?>
<ds:datastoreItem xmlns:ds="http://schemas.openxmlformats.org/officeDocument/2006/customXml" ds:itemID="{9919BBA0-0410-4332-AD33-81D40471FB2E}">
  <ds:schemaRefs/>
</ds:datastoreItem>
</file>

<file path=customXml/itemProps23.xml><?xml version="1.0" encoding="utf-8"?>
<ds:datastoreItem xmlns:ds="http://schemas.openxmlformats.org/officeDocument/2006/customXml" ds:itemID="{0424C3C6-B4D6-412F-86AE-1FA60876212E}">
  <ds:schemaRefs/>
</ds:datastoreItem>
</file>

<file path=customXml/itemProps24.xml><?xml version="1.0" encoding="utf-8"?>
<ds:datastoreItem xmlns:ds="http://schemas.openxmlformats.org/officeDocument/2006/customXml" ds:itemID="{2E58A7E9-4197-41B0-BB5A-890ECA626D61}">
  <ds:schemaRefs/>
</ds:datastoreItem>
</file>

<file path=customXml/itemProps25.xml><?xml version="1.0" encoding="utf-8"?>
<ds:datastoreItem xmlns:ds="http://schemas.openxmlformats.org/officeDocument/2006/customXml" ds:itemID="{5E11BF26-24F9-4EDA-A70E-9977B46C3323}">
  <ds:schemaRefs/>
</ds:datastoreItem>
</file>

<file path=customXml/itemProps26.xml><?xml version="1.0" encoding="utf-8"?>
<ds:datastoreItem xmlns:ds="http://schemas.openxmlformats.org/officeDocument/2006/customXml" ds:itemID="{0C09135D-EB98-4D9F-94E8-A55798E05F59}">
  <ds:schemaRefs/>
</ds:datastoreItem>
</file>

<file path=customXml/itemProps27.xml><?xml version="1.0" encoding="utf-8"?>
<ds:datastoreItem xmlns:ds="http://schemas.openxmlformats.org/officeDocument/2006/customXml" ds:itemID="{B29CD0A7-1F56-4D98-ADAD-B172EE1CA5FF}">
  <ds:schemaRefs/>
</ds:datastoreItem>
</file>

<file path=customXml/itemProps28.xml><?xml version="1.0" encoding="utf-8"?>
<ds:datastoreItem xmlns:ds="http://schemas.openxmlformats.org/officeDocument/2006/customXml" ds:itemID="{CC68A20F-DE05-48C4-B7FE-73F8DDB7F817}">
  <ds:schemaRefs/>
</ds:datastoreItem>
</file>

<file path=customXml/itemProps29.xml><?xml version="1.0" encoding="utf-8"?>
<ds:datastoreItem xmlns:ds="http://schemas.openxmlformats.org/officeDocument/2006/customXml" ds:itemID="{96CB3B7A-3B50-4CA9-87AB-0724567178FC}">
  <ds:schemaRefs/>
</ds:datastoreItem>
</file>

<file path=customXml/itemProps30.xml><?xml version="1.0" encoding="utf-8"?>
<ds:datastoreItem xmlns:ds="http://schemas.openxmlformats.org/officeDocument/2006/customXml" ds:itemID="{861A9E0A-A910-4BC3-9692-356350218AFE}">
  <ds:schemaRefs/>
</ds:datastoreItem>
</file>

<file path=customXml/itemProps31.xml><?xml version="1.0" encoding="utf-8"?>
<ds:datastoreItem xmlns:ds="http://schemas.openxmlformats.org/officeDocument/2006/customXml" ds:itemID="{E3296D2E-D5D4-4AEC-B09E-E48247D19501}">
  <ds:schemaRefs/>
</ds:datastoreItem>
</file>

<file path=customXml/itemProps32.xml><?xml version="1.0" encoding="utf-8"?>
<ds:datastoreItem xmlns:ds="http://schemas.openxmlformats.org/officeDocument/2006/customXml" ds:itemID="{ECE26CD5-948F-42C6-888C-973DA7239CA9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E93474CC-3A05-4ECF-BE0C-9D13F789EAF0}">
  <ds:schemaRefs/>
</ds:datastoreItem>
</file>

<file path=customXml/itemProps34.xml><?xml version="1.0" encoding="utf-8"?>
<ds:datastoreItem xmlns:ds="http://schemas.openxmlformats.org/officeDocument/2006/customXml" ds:itemID="{588870E3-CEBC-47CF-A765-0FBFE724BD19}">
  <ds:schemaRefs/>
</ds:datastoreItem>
</file>

<file path=customXml/itemProps35.xml><?xml version="1.0" encoding="utf-8"?>
<ds:datastoreItem xmlns:ds="http://schemas.openxmlformats.org/officeDocument/2006/customXml" ds:itemID="{A1858679-787F-4269-8968-B1B42EEFAC1C}">
  <ds:schemaRefs/>
</ds:datastoreItem>
</file>

<file path=customXml/itemProps36.xml><?xml version="1.0" encoding="utf-8"?>
<ds:datastoreItem xmlns:ds="http://schemas.openxmlformats.org/officeDocument/2006/customXml" ds:itemID="{38820284-C739-434E-930A-431C3DDD5D5D}">
  <ds:schemaRefs/>
</ds:datastoreItem>
</file>

<file path=customXml/itemProps37.xml><?xml version="1.0" encoding="utf-8"?>
<ds:datastoreItem xmlns:ds="http://schemas.openxmlformats.org/officeDocument/2006/customXml" ds:itemID="{333EC39F-7F0D-4E4B-9CEA-CFC1918269B8}">
  <ds:schemaRefs/>
</ds:datastoreItem>
</file>

<file path=customXml/itemProps38.xml><?xml version="1.0" encoding="utf-8"?>
<ds:datastoreItem xmlns:ds="http://schemas.openxmlformats.org/officeDocument/2006/customXml" ds:itemID="{35735115-729D-4854-95F9-BFFA084257C2}">
  <ds:schemaRefs/>
</ds:datastoreItem>
</file>

<file path=customXml/itemProps39.xml><?xml version="1.0" encoding="utf-8"?>
<ds:datastoreItem xmlns:ds="http://schemas.openxmlformats.org/officeDocument/2006/customXml" ds:itemID="{0EEC8D8E-F800-485D-8439-678A35B8EEF3}">
  <ds:schemaRefs/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 Singh</dc:creator>
  <cp:lastModifiedBy>Singh, Tejveer</cp:lastModifiedBy>
  <dcterms:created xsi:type="dcterms:W3CDTF">2015-06-05T18:17:20Z</dcterms:created>
  <dcterms:modified xsi:type="dcterms:W3CDTF">2026-01-06T13:29:01Z</dcterms:modified>
</cp:coreProperties>
</file>